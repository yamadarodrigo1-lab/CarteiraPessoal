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uman\Desktop\Nova pasta (4)\"/>
    </mc:Choice>
  </mc:AlternateContent>
  <xr:revisionPtr revIDLastSave="0" documentId="13_ncr:1_{D76B118C-6DB1-4BCF-93BF-7B4944DCCED6}" xr6:coauthVersionLast="47" xr6:coauthVersionMax="47" xr10:uidLastSave="{00000000-0000-0000-0000-000000000000}"/>
  <bookViews>
    <workbookView xWindow="-108" yWindow="-16308" windowWidth="29016" windowHeight="15696" tabRatio="500" firstSheet="1" activeTab="1" xr2:uid="{00000000-000D-0000-FFFF-FFFF00000000}"/>
  </bookViews>
  <sheets>
    <sheet name="🗂 Ichiran" sheetId="1" r:id="rId1"/>
    <sheet name="📊 Dashboard" sheetId="2" r:id="rId2"/>
    <sheet name="📋 Movimentações" sheetId="3" r:id="rId3"/>
    <sheet name="🏠 Gastos Fixos" sheetId="4" r:id="rId4"/>
    <sheet name="📅 Planejamento" sheetId="5" r:id="rId5"/>
    <sheet name="🎯 Metas" sheetId="6" r:id="rId6"/>
    <sheet name="📆 Resumo Anual" sheetId="7" r:id="rId7"/>
    <sheet name="💡 Simulador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1" i="8" l="1"/>
  <c r="E21" i="8"/>
  <c r="D21" i="8" s="1"/>
  <c r="C21" i="8"/>
  <c r="F20" i="8"/>
  <c r="E20" i="8"/>
  <c r="D20" i="8" s="1"/>
  <c r="C20" i="8"/>
  <c r="F19" i="8"/>
  <c r="E19" i="8"/>
  <c r="D19" i="8" s="1"/>
  <c r="C19" i="8"/>
  <c r="F18" i="8"/>
  <c r="E18" i="8"/>
  <c r="D18" i="8" s="1"/>
  <c r="C18" i="8"/>
  <c r="F17" i="8"/>
  <c r="E17" i="8"/>
  <c r="D17" i="8" s="1"/>
  <c r="C17" i="8"/>
  <c r="F16" i="8"/>
  <c r="E16" i="8"/>
  <c r="D16" i="8" s="1"/>
  <c r="C16" i="8"/>
  <c r="F15" i="8"/>
  <c r="E15" i="8"/>
  <c r="D15" i="8" s="1"/>
  <c r="C15" i="8"/>
  <c r="F14" i="8"/>
  <c r="E14" i="8"/>
  <c r="D14" i="8" s="1"/>
  <c r="C14" i="8"/>
  <c r="N17" i="7"/>
  <c r="M17" i="7"/>
  <c r="L17" i="7"/>
  <c r="K17" i="7"/>
  <c r="J17" i="7"/>
  <c r="I17" i="7"/>
  <c r="H17" i="7"/>
  <c r="G17" i="7"/>
  <c r="F17" i="7"/>
  <c r="E17" i="7"/>
  <c r="D17" i="7"/>
  <c r="C17" i="7"/>
  <c r="N16" i="7"/>
  <c r="M16" i="7"/>
  <c r="L16" i="7"/>
  <c r="K16" i="7"/>
  <c r="J16" i="7"/>
  <c r="I16" i="7"/>
  <c r="H16" i="7"/>
  <c r="G16" i="7"/>
  <c r="F16" i="7"/>
  <c r="E16" i="7"/>
  <c r="D16" i="7"/>
  <c r="C16" i="7"/>
  <c r="N15" i="7"/>
  <c r="M15" i="7"/>
  <c r="L15" i="7"/>
  <c r="K15" i="7"/>
  <c r="J15" i="7"/>
  <c r="I15" i="7"/>
  <c r="H15" i="7"/>
  <c r="G15" i="7"/>
  <c r="F15" i="7"/>
  <c r="E15" i="7"/>
  <c r="D15" i="7"/>
  <c r="C15" i="7"/>
  <c r="N14" i="7"/>
  <c r="M14" i="7"/>
  <c r="L14" i="7"/>
  <c r="K14" i="7"/>
  <c r="J14" i="7"/>
  <c r="I14" i="7"/>
  <c r="H14" i="7"/>
  <c r="G14" i="7"/>
  <c r="F14" i="7"/>
  <c r="E14" i="7"/>
  <c r="D14" i="7"/>
  <c r="C14" i="7"/>
  <c r="N13" i="7"/>
  <c r="M13" i="7"/>
  <c r="L13" i="7"/>
  <c r="K13" i="7"/>
  <c r="J13" i="7"/>
  <c r="I13" i="7"/>
  <c r="H13" i="7"/>
  <c r="G13" i="7"/>
  <c r="F13" i="7"/>
  <c r="E13" i="7"/>
  <c r="D13" i="7"/>
  <c r="C13" i="7"/>
  <c r="N12" i="7"/>
  <c r="M12" i="7"/>
  <c r="L12" i="7"/>
  <c r="K12" i="7"/>
  <c r="J12" i="7"/>
  <c r="I12" i="7"/>
  <c r="H12" i="7"/>
  <c r="G12" i="7"/>
  <c r="F12" i="7"/>
  <c r="E12" i="7"/>
  <c r="D12" i="7"/>
  <c r="C12" i="7"/>
  <c r="N10" i="7"/>
  <c r="N19" i="7" s="1"/>
  <c r="N20" i="7" s="1"/>
  <c r="M10" i="7"/>
  <c r="M19" i="7" s="1"/>
  <c r="M20" i="7" s="1"/>
  <c r="L10" i="7"/>
  <c r="L19" i="7" s="1"/>
  <c r="L20" i="7" s="1"/>
  <c r="K10" i="7"/>
  <c r="K19" i="7" s="1"/>
  <c r="K20" i="7" s="1"/>
  <c r="J10" i="7"/>
  <c r="J19" i="7" s="1"/>
  <c r="J20" i="7" s="1"/>
  <c r="I10" i="7"/>
  <c r="I19" i="7" s="1"/>
  <c r="I20" i="7" s="1"/>
  <c r="H10" i="7"/>
  <c r="H19" i="7" s="1"/>
  <c r="H20" i="7" s="1"/>
  <c r="G10" i="7"/>
  <c r="G19" i="7" s="1"/>
  <c r="G20" i="7" s="1"/>
  <c r="F10" i="7"/>
  <c r="F19" i="7" s="1"/>
  <c r="F20" i="7" s="1"/>
  <c r="E10" i="7"/>
  <c r="E19" i="7" s="1"/>
  <c r="E20" i="7" s="1"/>
  <c r="D10" i="7"/>
  <c r="C10" i="7"/>
  <c r="N9" i="7"/>
  <c r="M9" i="7"/>
  <c r="L9" i="7"/>
  <c r="K9" i="7"/>
  <c r="J9" i="7"/>
  <c r="I9" i="7"/>
  <c r="H9" i="7"/>
  <c r="G9" i="7"/>
  <c r="F9" i="7"/>
  <c r="E9" i="7"/>
  <c r="D9" i="7"/>
  <c r="C9" i="7"/>
  <c r="N8" i="7"/>
  <c r="M8" i="7"/>
  <c r="L8" i="7"/>
  <c r="K8" i="7"/>
  <c r="J8" i="7"/>
  <c r="I8" i="7"/>
  <c r="H8" i="7"/>
  <c r="G8" i="7"/>
  <c r="F8" i="7"/>
  <c r="E8" i="7"/>
  <c r="D8" i="7"/>
  <c r="C8" i="7"/>
  <c r="N7" i="7"/>
  <c r="M7" i="7"/>
  <c r="L7" i="7"/>
  <c r="K7" i="7"/>
  <c r="J7" i="7"/>
  <c r="I7" i="7"/>
  <c r="H7" i="7"/>
  <c r="G7" i="7"/>
  <c r="F7" i="7"/>
  <c r="E7" i="7"/>
  <c r="D7" i="7"/>
  <c r="C7" i="7"/>
  <c r="D15" i="6"/>
  <c r="C15" i="6"/>
  <c r="I12" i="6"/>
  <c r="D57" i="5" s="1"/>
  <c r="G12" i="6"/>
  <c r="E12" i="6"/>
  <c r="I11" i="6"/>
  <c r="D56" i="5" s="1"/>
  <c r="H56" i="5" s="1"/>
  <c r="G11" i="6"/>
  <c r="E11" i="6"/>
  <c r="I10" i="6"/>
  <c r="E98" i="1" s="1"/>
  <c r="G10" i="6"/>
  <c r="E10" i="6"/>
  <c r="G9" i="6"/>
  <c r="E9" i="6"/>
  <c r="I9" i="6" s="1"/>
  <c r="G8" i="6"/>
  <c r="E8" i="6"/>
  <c r="I8" i="6" s="1"/>
  <c r="G7" i="6"/>
  <c r="E7" i="6"/>
  <c r="I7" i="6" s="1"/>
  <c r="F89" i="1" s="1"/>
  <c r="G6" i="6"/>
  <c r="E6" i="6"/>
  <c r="I6" i="6" s="1"/>
  <c r="G5" i="6"/>
  <c r="E5" i="6"/>
  <c r="I5" i="6" s="1"/>
  <c r="E58" i="5"/>
  <c r="D41" i="5"/>
  <c r="D40" i="5"/>
  <c r="D39" i="5"/>
  <c r="D38" i="5"/>
  <c r="D37" i="5"/>
  <c r="D36" i="5"/>
  <c r="D35" i="5"/>
  <c r="D34" i="5"/>
  <c r="D33" i="5"/>
  <c r="D32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1" i="5"/>
  <c r="D45" i="5" s="1"/>
  <c r="F25" i="4"/>
  <c r="C25" i="4"/>
  <c r="F24" i="4"/>
  <c r="C24" i="4"/>
  <c r="F23" i="4"/>
  <c r="C23" i="4"/>
  <c r="D29" i="5" s="1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F516" i="3"/>
  <c r="F515" i="3"/>
  <c r="P71" i="2"/>
  <c r="H77" i="2" s="1"/>
  <c r="O71" i="2"/>
  <c r="N71" i="2"/>
  <c r="J58" i="2"/>
  <c r="C58" i="2"/>
  <c r="J57" i="2"/>
  <c r="C57" i="2"/>
  <c r="J56" i="2"/>
  <c r="C56" i="2"/>
  <c r="J55" i="2"/>
  <c r="C55" i="2"/>
  <c r="J54" i="2"/>
  <c r="C54" i="2"/>
  <c r="J53" i="2"/>
  <c r="C53" i="2"/>
  <c r="J52" i="2"/>
  <c r="C52" i="2"/>
  <c r="J25" i="2"/>
  <c r="F15" i="2"/>
  <c r="B15" i="2"/>
  <c r="D200" i="1"/>
  <c r="F74" i="1" s="1"/>
  <c r="J105" i="1"/>
  <c r="J104" i="1"/>
  <c r="H104" i="1"/>
  <c r="J102" i="1"/>
  <c r="H101" i="1"/>
  <c r="J99" i="1"/>
  <c r="I97" i="1"/>
  <c r="H97" i="1"/>
  <c r="G97" i="1"/>
  <c r="F97" i="1"/>
  <c r="E97" i="1"/>
  <c r="D97" i="1"/>
  <c r="J96" i="1"/>
  <c r="J97" i="1" s="1"/>
  <c r="I94" i="1"/>
  <c r="H94" i="1"/>
  <c r="G94" i="1"/>
  <c r="F94" i="1"/>
  <c r="E94" i="1"/>
  <c r="D94" i="1"/>
  <c r="J93" i="1"/>
  <c r="J94" i="1" s="1"/>
  <c r="I91" i="1"/>
  <c r="H91" i="1"/>
  <c r="G91" i="1"/>
  <c r="F91" i="1"/>
  <c r="E91" i="1"/>
  <c r="D91" i="1"/>
  <c r="J90" i="1"/>
  <c r="J91" i="1" s="1"/>
  <c r="I88" i="1"/>
  <c r="H88" i="1"/>
  <c r="G88" i="1"/>
  <c r="F88" i="1"/>
  <c r="E88" i="1"/>
  <c r="D88" i="1"/>
  <c r="J87" i="1"/>
  <c r="J88" i="1" s="1"/>
  <c r="I85" i="1"/>
  <c r="H85" i="1"/>
  <c r="G85" i="1"/>
  <c r="F85" i="1"/>
  <c r="E85" i="1"/>
  <c r="D85" i="1"/>
  <c r="J84" i="1"/>
  <c r="J85" i="1" s="1"/>
  <c r="I77" i="1"/>
  <c r="H77" i="1"/>
  <c r="G77" i="1"/>
  <c r="F77" i="1"/>
  <c r="E77" i="1"/>
  <c r="D77" i="1"/>
  <c r="I76" i="1"/>
  <c r="H76" i="1"/>
  <c r="G76" i="1"/>
  <c r="F76" i="1"/>
  <c r="E76" i="1"/>
  <c r="D76" i="1"/>
  <c r="J75" i="1"/>
  <c r="I74" i="1"/>
  <c r="H74" i="1"/>
  <c r="G74" i="1"/>
  <c r="E74" i="1"/>
  <c r="D74" i="1"/>
  <c r="J73" i="1"/>
  <c r="I72" i="1"/>
  <c r="H72" i="1"/>
  <c r="G72" i="1"/>
  <c r="F72" i="1"/>
  <c r="E72" i="1"/>
  <c r="D72" i="1"/>
  <c r="J71" i="1"/>
  <c r="I70" i="1"/>
  <c r="G70" i="1"/>
  <c r="F70" i="1"/>
  <c r="E70" i="1"/>
  <c r="D70" i="1"/>
  <c r="J69" i="1"/>
  <c r="I68" i="1"/>
  <c r="H68" i="1"/>
  <c r="G68" i="1"/>
  <c r="F68" i="1"/>
  <c r="E68" i="1"/>
  <c r="D68" i="1"/>
  <c r="J67" i="1"/>
  <c r="I66" i="1"/>
  <c r="H66" i="1"/>
  <c r="G66" i="1"/>
  <c r="F66" i="1"/>
  <c r="E66" i="1"/>
  <c r="D66" i="1"/>
  <c r="J65" i="1"/>
  <c r="I64" i="1"/>
  <c r="H64" i="1"/>
  <c r="G64" i="1"/>
  <c r="F64" i="1"/>
  <c r="D64" i="1"/>
  <c r="J63" i="1"/>
  <c r="I62" i="1"/>
  <c r="H62" i="1"/>
  <c r="G62" i="1"/>
  <c r="F62" i="1"/>
  <c r="E62" i="1"/>
  <c r="D62" i="1"/>
  <c r="J61" i="1"/>
  <c r="I60" i="1"/>
  <c r="H60" i="1"/>
  <c r="F60" i="1"/>
  <c r="E60" i="1"/>
  <c r="D60" i="1"/>
  <c r="J59" i="1"/>
  <c r="I58" i="1"/>
  <c r="H58" i="1"/>
  <c r="G58" i="1"/>
  <c r="F58" i="1"/>
  <c r="E58" i="1"/>
  <c r="D58" i="1"/>
  <c r="J57" i="1"/>
  <c r="H51" i="1"/>
  <c r="G51" i="1"/>
  <c r="F51" i="1"/>
  <c r="E51" i="1"/>
  <c r="D51" i="1"/>
  <c r="J50" i="1"/>
  <c r="I50" i="1"/>
  <c r="H50" i="1"/>
  <c r="G50" i="1"/>
  <c r="F50" i="1"/>
  <c r="E50" i="1"/>
  <c r="D50" i="1"/>
  <c r="I49" i="1"/>
  <c r="H49" i="1"/>
  <c r="G49" i="1"/>
  <c r="F49" i="1"/>
  <c r="E49" i="1"/>
  <c r="D49" i="1"/>
  <c r="J48" i="1"/>
  <c r="I48" i="1"/>
  <c r="H48" i="1"/>
  <c r="G48" i="1"/>
  <c r="F48" i="1"/>
  <c r="E48" i="1"/>
  <c r="D48" i="1"/>
  <c r="I47" i="1"/>
  <c r="H47" i="1"/>
  <c r="G47" i="1"/>
  <c r="F47" i="1"/>
  <c r="E47" i="1"/>
  <c r="D47" i="1"/>
  <c r="J46" i="1"/>
  <c r="I46" i="1"/>
  <c r="H46" i="1"/>
  <c r="G46" i="1"/>
  <c r="F46" i="1"/>
  <c r="E46" i="1"/>
  <c r="D46" i="1"/>
  <c r="I45" i="1"/>
  <c r="H45" i="1"/>
  <c r="G45" i="1"/>
  <c r="F45" i="1"/>
  <c r="E45" i="1"/>
  <c r="D45" i="1"/>
  <c r="J44" i="1"/>
  <c r="I44" i="1"/>
  <c r="H44" i="1"/>
  <c r="G44" i="1"/>
  <c r="F44" i="1"/>
  <c r="E44" i="1"/>
  <c r="D44" i="1"/>
  <c r="I43" i="1"/>
  <c r="H43" i="1"/>
  <c r="G43" i="1"/>
  <c r="F43" i="1"/>
  <c r="E43" i="1"/>
  <c r="D43" i="1"/>
  <c r="J42" i="1"/>
  <c r="I42" i="1"/>
  <c r="H42" i="1"/>
  <c r="G42" i="1"/>
  <c r="F42" i="1"/>
  <c r="E42" i="1"/>
  <c r="D42" i="1"/>
  <c r="I41" i="1"/>
  <c r="H41" i="1"/>
  <c r="G41" i="1"/>
  <c r="F41" i="1"/>
  <c r="E41" i="1"/>
  <c r="D41" i="1"/>
  <c r="J40" i="1"/>
  <c r="I40" i="1"/>
  <c r="H40" i="1"/>
  <c r="G40" i="1"/>
  <c r="F40" i="1"/>
  <c r="E40" i="1"/>
  <c r="D40" i="1"/>
  <c r="I39" i="1"/>
  <c r="H39" i="1"/>
  <c r="G39" i="1"/>
  <c r="F39" i="1"/>
  <c r="E39" i="1"/>
  <c r="D39" i="1"/>
  <c r="J38" i="1"/>
  <c r="I38" i="1"/>
  <c r="H38" i="1"/>
  <c r="G38" i="1"/>
  <c r="F38" i="1"/>
  <c r="E38" i="1"/>
  <c r="D38" i="1"/>
  <c r="I37" i="1"/>
  <c r="H37" i="1"/>
  <c r="G37" i="1"/>
  <c r="F37" i="1"/>
  <c r="E37" i="1"/>
  <c r="J36" i="1"/>
  <c r="I36" i="1"/>
  <c r="H36" i="1"/>
  <c r="G36" i="1"/>
  <c r="F36" i="1"/>
  <c r="E36" i="1"/>
  <c r="D36" i="1"/>
  <c r="I35" i="1"/>
  <c r="H35" i="1"/>
  <c r="G35" i="1"/>
  <c r="F35" i="1"/>
  <c r="D35" i="1"/>
  <c r="J34" i="1"/>
  <c r="I34" i="1"/>
  <c r="H34" i="1"/>
  <c r="G34" i="1"/>
  <c r="F34" i="1"/>
  <c r="E34" i="1"/>
  <c r="D34" i="1"/>
  <c r="I33" i="1"/>
  <c r="H33" i="1"/>
  <c r="G33" i="1"/>
  <c r="F33" i="1"/>
  <c r="E33" i="1"/>
  <c r="D33" i="1"/>
  <c r="J32" i="1"/>
  <c r="I32" i="1"/>
  <c r="H32" i="1"/>
  <c r="G32" i="1"/>
  <c r="F32" i="1"/>
  <c r="E32" i="1"/>
  <c r="D32" i="1"/>
  <c r="I31" i="1"/>
  <c r="H31" i="1"/>
  <c r="G31" i="1"/>
  <c r="F31" i="1"/>
  <c r="E31" i="1"/>
  <c r="D31" i="1"/>
  <c r="J30" i="1"/>
  <c r="I30" i="1"/>
  <c r="H30" i="1"/>
  <c r="G30" i="1"/>
  <c r="F30" i="1"/>
  <c r="E30" i="1"/>
  <c r="D30" i="1"/>
  <c r="I29" i="1"/>
  <c r="H29" i="1"/>
  <c r="G29" i="1"/>
  <c r="F29" i="1"/>
  <c r="E29" i="1"/>
  <c r="D29" i="1"/>
  <c r="J28" i="1"/>
  <c r="I28" i="1"/>
  <c r="H28" i="1"/>
  <c r="G28" i="1"/>
  <c r="F28" i="1"/>
  <c r="E28" i="1"/>
  <c r="D28" i="1"/>
  <c r="I27" i="1"/>
  <c r="H27" i="1"/>
  <c r="G27" i="1"/>
  <c r="F27" i="1"/>
  <c r="E27" i="1"/>
  <c r="D27" i="1"/>
  <c r="J26" i="1"/>
  <c r="I26" i="1"/>
  <c r="H26" i="1"/>
  <c r="G26" i="1"/>
  <c r="F26" i="1"/>
  <c r="E26" i="1"/>
  <c r="D26" i="1"/>
  <c r="I25" i="1"/>
  <c r="H25" i="1"/>
  <c r="G25" i="1"/>
  <c r="F25" i="1"/>
  <c r="E25" i="1"/>
  <c r="D25" i="1"/>
  <c r="J24" i="1"/>
  <c r="I24" i="1"/>
  <c r="H24" i="1"/>
  <c r="G24" i="1"/>
  <c r="F24" i="1"/>
  <c r="E24" i="1"/>
  <c r="D24" i="1"/>
  <c r="I19" i="1"/>
  <c r="H19" i="1"/>
  <c r="G19" i="1"/>
  <c r="J19" i="1" s="1"/>
  <c r="F19" i="1"/>
  <c r="E19" i="1"/>
  <c r="D19" i="1"/>
  <c r="I18" i="1"/>
  <c r="H18" i="1"/>
  <c r="G18" i="1"/>
  <c r="F18" i="1"/>
  <c r="E18" i="1"/>
  <c r="D18" i="1"/>
  <c r="J17" i="1"/>
  <c r="I16" i="1"/>
  <c r="H16" i="1"/>
  <c r="G16" i="1"/>
  <c r="F16" i="1"/>
  <c r="E16" i="1"/>
  <c r="D16" i="1"/>
  <c r="J15" i="1"/>
  <c r="I14" i="1"/>
  <c r="H14" i="1"/>
  <c r="G14" i="1"/>
  <c r="F14" i="1"/>
  <c r="E14" i="1"/>
  <c r="D14" i="1"/>
  <c r="J13" i="1"/>
  <c r="I12" i="1"/>
  <c r="H12" i="1"/>
  <c r="G12" i="1"/>
  <c r="F12" i="1"/>
  <c r="E12" i="1"/>
  <c r="D12" i="1"/>
  <c r="J11" i="1"/>
  <c r="I10" i="1"/>
  <c r="H10" i="1"/>
  <c r="G10" i="1"/>
  <c r="F10" i="1"/>
  <c r="E10" i="1"/>
  <c r="D10" i="1"/>
  <c r="J9" i="1"/>
  <c r="I6" i="1"/>
  <c r="H6" i="1"/>
  <c r="G6" i="1"/>
  <c r="F6" i="1"/>
  <c r="E6" i="1"/>
  <c r="D6" i="1"/>
  <c r="E15" i="6" l="1"/>
  <c r="G78" i="2"/>
  <c r="Q71" i="2"/>
  <c r="E17" i="5" s="1"/>
  <c r="G74" i="2"/>
  <c r="C75" i="2"/>
  <c r="D75" i="2"/>
  <c r="E75" i="2"/>
  <c r="E35" i="1"/>
  <c r="D37" i="1"/>
  <c r="D53" i="1" s="1"/>
  <c r="I51" i="1"/>
  <c r="G60" i="1"/>
  <c r="E64" i="1"/>
  <c r="E78" i="1" s="1"/>
  <c r="E112" i="1" s="1"/>
  <c r="H70" i="1"/>
  <c r="H75" i="2"/>
  <c r="G76" i="2"/>
  <c r="C77" i="2"/>
  <c r="D77" i="2"/>
  <c r="E77" i="2"/>
  <c r="D19" i="7"/>
  <c r="D20" i="7" s="1"/>
  <c r="G104" i="1"/>
  <c r="I104" i="1"/>
  <c r="D104" i="1"/>
  <c r="D42" i="5"/>
  <c r="D46" i="5" s="1"/>
  <c r="D47" i="5" s="1"/>
  <c r="J77" i="1"/>
  <c r="D101" i="1"/>
  <c r="I101" i="1"/>
  <c r="F104" i="1"/>
  <c r="E104" i="1"/>
  <c r="E101" i="1"/>
  <c r="F101" i="1"/>
  <c r="G101" i="1"/>
  <c r="J101" i="1"/>
  <c r="J25" i="1"/>
  <c r="J76" i="1"/>
  <c r="O7" i="7"/>
  <c r="O8" i="7"/>
  <c r="O9" i="7"/>
  <c r="O10" i="7"/>
  <c r="O12" i="7"/>
  <c r="O13" i="7"/>
  <c r="O14" i="7"/>
  <c r="O15" i="7"/>
  <c r="O16" i="7"/>
  <c r="O17" i="7"/>
  <c r="J16" i="1"/>
  <c r="J70" i="1"/>
  <c r="G20" i="1"/>
  <c r="G110" i="1" s="1"/>
  <c r="J60" i="1"/>
  <c r="J49" i="1"/>
  <c r="J35" i="1"/>
  <c r="J37" i="1"/>
  <c r="J12" i="1"/>
  <c r="I53" i="1"/>
  <c r="I111" i="1" s="1"/>
  <c r="F78" i="1"/>
  <c r="F112" i="1" s="1"/>
  <c r="J39" i="1"/>
  <c r="J43" i="1"/>
  <c r="D78" i="1"/>
  <c r="D112" i="1" s="1"/>
  <c r="H78" i="1"/>
  <c r="H112" i="1" s="1"/>
  <c r="I20" i="1"/>
  <c r="I110" i="1" s="1"/>
  <c r="J45" i="1"/>
  <c r="I78" i="1"/>
  <c r="I112" i="1" s="1"/>
  <c r="J74" i="1"/>
  <c r="D20" i="1"/>
  <c r="E20" i="1"/>
  <c r="E110" i="1" s="1"/>
  <c r="J41" i="1"/>
  <c r="E53" i="1"/>
  <c r="E111" i="1" s="1"/>
  <c r="J47" i="1"/>
  <c r="G78" i="1"/>
  <c r="G112" i="1" s="1"/>
  <c r="J68" i="1"/>
  <c r="H20" i="1"/>
  <c r="H110" i="1" s="1"/>
  <c r="G53" i="1"/>
  <c r="G111" i="1" s="1"/>
  <c r="J27" i="1"/>
  <c r="J29" i="1"/>
  <c r="J72" i="1"/>
  <c r="J14" i="1"/>
  <c r="H53" i="1"/>
  <c r="H111" i="1" s="1"/>
  <c r="J31" i="1"/>
  <c r="J62" i="1"/>
  <c r="F20" i="1"/>
  <c r="F110" i="1" s="1"/>
  <c r="J10" i="1"/>
  <c r="J18" i="1"/>
  <c r="F53" i="1"/>
  <c r="F111" i="1" s="1"/>
  <c r="J33" i="1"/>
  <c r="J51" i="1"/>
  <c r="J58" i="1"/>
  <c r="J66" i="1"/>
  <c r="D52" i="1"/>
  <c r="I52" i="1"/>
  <c r="H52" i="1"/>
  <c r="J89" i="1"/>
  <c r="D89" i="1"/>
  <c r="E52" i="1"/>
  <c r="F52" i="1"/>
  <c r="G52" i="1"/>
  <c r="G98" i="1"/>
  <c r="H98" i="1"/>
  <c r="F98" i="1"/>
  <c r="I98" i="1"/>
  <c r="J98" i="1"/>
  <c r="G57" i="5"/>
  <c r="F57" i="5"/>
  <c r="H57" i="5"/>
  <c r="D55" i="5"/>
  <c r="E89" i="1"/>
  <c r="G89" i="1"/>
  <c r="D98" i="1"/>
  <c r="H89" i="1"/>
  <c r="D50" i="5"/>
  <c r="J83" i="1"/>
  <c r="I83" i="1"/>
  <c r="H83" i="1"/>
  <c r="G83" i="1"/>
  <c r="F83" i="1"/>
  <c r="E83" i="1"/>
  <c r="D83" i="1"/>
  <c r="I86" i="1"/>
  <c r="H86" i="1"/>
  <c r="G86" i="1"/>
  <c r="F86" i="1"/>
  <c r="E86" i="1"/>
  <c r="D86" i="1"/>
  <c r="D51" i="5"/>
  <c r="J86" i="1"/>
  <c r="G17" i="5"/>
  <c r="F17" i="5"/>
  <c r="H17" i="5"/>
  <c r="D53" i="5"/>
  <c r="J92" i="1"/>
  <c r="I92" i="1"/>
  <c r="H92" i="1"/>
  <c r="G92" i="1"/>
  <c r="F92" i="1"/>
  <c r="E92" i="1"/>
  <c r="D92" i="1"/>
  <c r="J95" i="1"/>
  <c r="I95" i="1"/>
  <c r="H95" i="1"/>
  <c r="G95" i="1"/>
  <c r="F95" i="1"/>
  <c r="E95" i="1"/>
  <c r="D54" i="5"/>
  <c r="D95" i="1"/>
  <c r="E20" i="5"/>
  <c r="E34" i="5"/>
  <c r="F56" i="5"/>
  <c r="E7" i="5"/>
  <c r="E10" i="5"/>
  <c r="E25" i="5"/>
  <c r="E39" i="5"/>
  <c r="G56" i="5"/>
  <c r="I89" i="1"/>
  <c r="F75" i="2"/>
  <c r="F77" i="2"/>
  <c r="E18" i="5"/>
  <c r="E32" i="5"/>
  <c r="C19" i="7"/>
  <c r="G75" i="2"/>
  <c r="G77" i="2"/>
  <c r="E23" i="5"/>
  <c r="E37" i="5"/>
  <c r="E16" i="5"/>
  <c r="E28" i="5"/>
  <c r="C74" i="2"/>
  <c r="C76" i="2"/>
  <c r="C78" i="2"/>
  <c r="E8" i="5"/>
  <c r="E21" i="5"/>
  <c r="E35" i="5"/>
  <c r="D74" i="2"/>
  <c r="D76" i="2"/>
  <c r="D78" i="2"/>
  <c r="E11" i="5"/>
  <c r="E26" i="5"/>
  <c r="E40" i="5"/>
  <c r="E74" i="2"/>
  <c r="E76" i="2"/>
  <c r="E78" i="2"/>
  <c r="E19" i="5"/>
  <c r="E33" i="5"/>
  <c r="D52" i="5"/>
  <c r="F74" i="2"/>
  <c r="F76" i="2"/>
  <c r="F78" i="2"/>
  <c r="E24" i="5"/>
  <c r="E38" i="5"/>
  <c r="B71" i="2"/>
  <c r="E6" i="5"/>
  <c r="E9" i="5"/>
  <c r="D71" i="2"/>
  <c r="L55" i="2" s="1"/>
  <c r="H74" i="2"/>
  <c r="H76" i="2"/>
  <c r="H78" i="2"/>
  <c r="E22" i="5"/>
  <c r="E36" i="5"/>
  <c r="E15" i="5"/>
  <c r="E27" i="5"/>
  <c r="J64" i="1" l="1"/>
  <c r="E41" i="5"/>
  <c r="G113" i="1"/>
  <c r="G114" i="1" s="1"/>
  <c r="G116" i="1" s="1"/>
  <c r="G117" i="1" s="1"/>
  <c r="J53" i="1"/>
  <c r="J20" i="1"/>
  <c r="D111" i="1"/>
  <c r="D113" i="1" s="1"/>
  <c r="I113" i="1"/>
  <c r="I114" i="1" s="1"/>
  <c r="I116" i="1" s="1"/>
  <c r="I117" i="1" s="1"/>
  <c r="E113" i="1"/>
  <c r="E114" i="1" s="1"/>
  <c r="E116" i="1" s="1"/>
  <c r="E117" i="1" s="1"/>
  <c r="F113" i="1"/>
  <c r="F114" i="1" s="1"/>
  <c r="F116" i="1" s="1"/>
  <c r="F117" i="1" s="1"/>
  <c r="J112" i="1"/>
  <c r="J78" i="1"/>
  <c r="D110" i="1"/>
  <c r="J110" i="1" s="1"/>
  <c r="H113" i="1"/>
  <c r="H114" i="1" s="1"/>
  <c r="H116" i="1" s="1"/>
  <c r="H117" i="1" s="1"/>
  <c r="J52" i="1"/>
  <c r="F55" i="5"/>
  <c r="H55" i="5"/>
  <c r="G55" i="5"/>
  <c r="G6" i="5"/>
  <c r="F6" i="5"/>
  <c r="H6" i="5"/>
  <c r="H28" i="5"/>
  <c r="G28" i="5"/>
  <c r="F28" i="5"/>
  <c r="H27" i="5"/>
  <c r="G27" i="5"/>
  <c r="F27" i="5"/>
  <c r="H24" i="5"/>
  <c r="G24" i="5"/>
  <c r="F24" i="5"/>
  <c r="E45" i="5"/>
  <c r="H11" i="5"/>
  <c r="G11" i="5"/>
  <c r="F11" i="5"/>
  <c r="H16" i="5"/>
  <c r="G16" i="5"/>
  <c r="F16" i="5"/>
  <c r="H39" i="5"/>
  <c r="G39" i="5"/>
  <c r="F39" i="5"/>
  <c r="L54" i="2"/>
  <c r="H51" i="5"/>
  <c r="G51" i="5"/>
  <c r="F51" i="5"/>
  <c r="F71" i="2"/>
  <c r="B8" i="2"/>
  <c r="H37" i="5"/>
  <c r="G37" i="5"/>
  <c r="F37" i="5"/>
  <c r="H25" i="5"/>
  <c r="G25" i="5"/>
  <c r="F25" i="5"/>
  <c r="H26" i="5"/>
  <c r="G26" i="5"/>
  <c r="F26" i="5"/>
  <c r="H23" i="5"/>
  <c r="G23" i="5"/>
  <c r="F23" i="5"/>
  <c r="H10" i="5"/>
  <c r="G10" i="5"/>
  <c r="F10" i="5"/>
  <c r="D58" i="5"/>
  <c r="H50" i="5"/>
  <c r="G50" i="5"/>
  <c r="F50" i="5"/>
  <c r="F36" i="5"/>
  <c r="H36" i="5"/>
  <c r="G36" i="5"/>
  <c r="F22" i="5"/>
  <c r="H22" i="5"/>
  <c r="G22" i="5"/>
  <c r="H7" i="5"/>
  <c r="G7" i="5"/>
  <c r="F7" i="5"/>
  <c r="L56" i="2"/>
  <c r="L58" i="2"/>
  <c r="E29" i="5"/>
  <c r="H15" i="5"/>
  <c r="G15" i="5"/>
  <c r="F15" i="5"/>
  <c r="H52" i="5"/>
  <c r="G52" i="5"/>
  <c r="F52" i="5"/>
  <c r="H35" i="5"/>
  <c r="G35" i="5"/>
  <c r="F35" i="5"/>
  <c r="L52" i="2"/>
  <c r="H33" i="5"/>
  <c r="G33" i="5"/>
  <c r="F33" i="5"/>
  <c r="H21" i="5"/>
  <c r="G21" i="5"/>
  <c r="F21" i="5"/>
  <c r="C20" i="7"/>
  <c r="O19" i="7"/>
  <c r="O20" i="7" s="1"/>
  <c r="H34" i="5"/>
  <c r="G34" i="5"/>
  <c r="F34" i="5"/>
  <c r="H53" i="5"/>
  <c r="G53" i="5"/>
  <c r="F53" i="5"/>
  <c r="H38" i="5"/>
  <c r="G38" i="5"/>
  <c r="F38" i="5"/>
  <c r="H8" i="5"/>
  <c r="G8" i="5"/>
  <c r="F8" i="5"/>
  <c r="H32" i="5"/>
  <c r="G32" i="5"/>
  <c r="F32" i="5"/>
  <c r="H20" i="5"/>
  <c r="G20" i="5"/>
  <c r="F20" i="5"/>
  <c r="H40" i="5"/>
  <c r="G40" i="5"/>
  <c r="F40" i="5"/>
  <c r="F8" i="2"/>
  <c r="H71" i="2"/>
  <c r="H18" i="5"/>
  <c r="G18" i="5"/>
  <c r="F18" i="5"/>
  <c r="L57" i="2"/>
  <c r="J111" i="1"/>
  <c r="H19" i="5"/>
  <c r="G19" i="5"/>
  <c r="F19" i="5"/>
  <c r="G9" i="5"/>
  <c r="F9" i="5"/>
  <c r="H9" i="5"/>
  <c r="H54" i="5"/>
  <c r="G54" i="5"/>
  <c r="F54" i="5"/>
  <c r="L53" i="2"/>
  <c r="H41" i="5" l="1"/>
  <c r="G41" i="5"/>
  <c r="F41" i="5"/>
  <c r="J113" i="1"/>
  <c r="D114" i="1"/>
  <c r="H115" i="1" s="1"/>
  <c r="G29" i="5"/>
  <c r="F29" i="5"/>
  <c r="H29" i="5"/>
  <c r="E42" i="5"/>
  <c r="E46" i="5" s="1"/>
  <c r="H58" i="5"/>
  <c r="G58" i="5"/>
  <c r="F58" i="5"/>
  <c r="B23" i="2"/>
  <c r="J15" i="2"/>
  <c r="F25" i="2"/>
  <c r="J8" i="2"/>
  <c r="B60" i="5"/>
  <c r="G45" i="5"/>
  <c r="F45" i="5"/>
  <c r="H45" i="5"/>
  <c r="I115" i="1" l="1"/>
  <c r="D116" i="1"/>
  <c r="D117" i="1" s="1"/>
  <c r="J114" i="1"/>
  <c r="J116" i="1" s="1"/>
  <c r="J117" i="1" s="1"/>
  <c r="D115" i="1"/>
  <c r="E115" i="1"/>
  <c r="F115" i="1"/>
  <c r="G115" i="1"/>
  <c r="H46" i="5"/>
  <c r="G46" i="5"/>
  <c r="F46" i="5"/>
  <c r="E47" i="5"/>
  <c r="J115" i="1"/>
  <c r="H42" i="5"/>
  <c r="G42" i="5"/>
  <c r="F42" i="5"/>
  <c r="H47" i="5" l="1"/>
  <c r="G47" i="5"/>
  <c r="F47" i="5"/>
</calcChain>
</file>

<file path=xl/sharedStrings.xml><?xml version="1.0" encoding="utf-8"?>
<sst xmlns="http://schemas.openxmlformats.org/spreadsheetml/2006/main" count="547" uniqueCount="261">
  <si>
    <t>🗂  ICHIRAN — PAINEL DE CONTROLE CENTRAL</t>
  </si>
  <si>
    <t>Mês base = Mês de Referência do Dashboard  |  🔵 Fundo azul = você digita (PREVISTO)  |  Texto azul = automático das Movimentações</t>
  </si>
  <si>
    <t>📅 Coluna D = mês do Dashboard  |  E-I = meses seguintes  |  Altere o mês no Dashboard (aba 📊) para navegar  |  🔵 Azul escuro = digite aqui  |  Texto azul = automático</t>
  </si>
  <si>
    <t>ITEM</t>
  </si>
  <si>
    <t>TIPO</t>
  </si>
  <si>
    <t>TOTAL ANO</t>
  </si>
  <si>
    <t>▲  RENDA</t>
  </si>
  <si>
    <t>Salário</t>
  </si>
  <si>
    <t>PREV</t>
  </si>
  <si>
    <t>REAL</t>
  </si>
  <si>
    <t>Hora Extra</t>
  </si>
  <si>
    <t>Bônus</t>
  </si>
  <si>
    <t>Arubaito / Extra</t>
  </si>
  <si>
    <t>Reembolso</t>
  </si>
  <si>
    <t>TOTAL RENDA</t>
  </si>
  <si>
    <t>∑</t>
  </si>
  <si>
    <t>🏠  GASTOS FIXOS</t>
  </si>
  <si>
    <t>Aluguel</t>
  </si>
  <si>
    <t>Luz</t>
  </si>
  <si>
    <t>Água</t>
  </si>
  <si>
    <t>Gás</t>
  </si>
  <si>
    <t>Internet</t>
  </si>
  <si>
    <t>Celular</t>
  </si>
  <si>
    <t>Academia</t>
  </si>
  <si>
    <t>Seguro de Vida</t>
  </si>
  <si>
    <t>Seguro do Carro</t>
  </si>
  <si>
    <t>Netflix / Disney+</t>
  </si>
  <si>
    <t>Spotify</t>
  </si>
  <si>
    <t>Escola / Creche</t>
  </si>
  <si>
    <t>Financiamento</t>
  </si>
  <si>
    <t>Outros Fixos</t>
  </si>
  <si>
    <t>TOTAL FIXOS</t>
  </si>
  <si>
    <t>🛒  GASTOS VARIÁVEIS</t>
  </si>
  <si>
    <t>Mercado / Konbini</t>
  </si>
  <si>
    <t>Transporte</t>
  </si>
  <si>
    <t>Restaurantes</t>
  </si>
  <si>
    <t>Lazer</t>
  </si>
  <si>
    <t>Saúde / Remédios</t>
  </si>
  <si>
    <t>Compras / Roupas</t>
  </si>
  <si>
    <t>Remessa Brasil</t>
  </si>
  <si>
    <t>Igreja / Oferta</t>
  </si>
  <si>
    <t>Emergência</t>
  </si>
  <si>
    <t>Outros variáveis</t>
  </si>
  <si>
    <t>TOTAL VARIÁVEIS</t>
  </si>
  <si>
    <t>🎯  METAS — Aporte Mensal</t>
  </si>
  <si>
    <t>💡 PREV = quanto você planeja guardar por mês  |  REAL = quanto você guardou (digite aqui)  |  TOTAL = acumulado</t>
  </si>
  <si>
    <t>🆘 Reserva de Emergência</t>
  </si>
  <si>
    <t xml:space="preserve">  ← Digite quanto guardou por mês</t>
  </si>
  <si>
    <t xml:space="preserve">  Progresso — Alvo: ¥500,000  |  Já guardado: ¥50,000</t>
  </si>
  <si>
    <t>%</t>
  </si>
  <si>
    <t>✈️ Viagem ao Brasil</t>
  </si>
  <si>
    <t xml:space="preserve">  Progresso — Alvo: ¥300,000  |  Já guardado: ¥30,000</t>
  </si>
  <si>
    <t>🚗 Carro Novo</t>
  </si>
  <si>
    <t xml:space="preserve">  Progresso — Alvo: ¥800,000  |  Já guardado: ¥80,000</t>
  </si>
  <si>
    <t>📦 Mudança / Novo Apto</t>
  </si>
  <si>
    <t xml:space="preserve">  Progresso — Alvo: ¥200,000  |  Já guardado: ¥0</t>
  </si>
  <si>
    <t>📈 Investimento</t>
  </si>
  <si>
    <t xml:space="preserve">  Progresso — Alvo: ¥1,000,000  |  Já guardado: ¥100,000</t>
  </si>
  <si>
    <t>💳 Quitar Dívida</t>
  </si>
  <si>
    <t xml:space="preserve">  Progresso — Alvo: ¥0  |  Já guardado: ¥0</t>
  </si>
  <si>
    <t>🛒 Compra Importante</t>
  </si>
  <si>
    <t>⭐ Outros</t>
  </si>
  <si>
    <t>🩺  SAÚDE FINANCEIRA</t>
  </si>
  <si>
    <t>Total Entradas</t>
  </si>
  <si>
    <t>AUTO</t>
  </si>
  <si>
    <t>Total Fixos</t>
  </si>
  <si>
    <t>Total Variáveis</t>
  </si>
  <si>
    <t>Total Saídas</t>
  </si>
  <si>
    <t>Saldo do Mês</t>
  </si>
  <si>
    <t>Economia Acumulada</t>
  </si>
  <si>
    <t>% Economizado</t>
  </si>
  <si>
    <t>Saúde Financeira</t>
  </si>
  <si>
    <t>💹  FINANÇAS PESSOAIS  |  JAPÃO</t>
  </si>
  <si>
    <t>MÊS DE REFERÊNCIA:</t>
  </si>
  <si>
    <t>↑ Altere o mês acima para filtrar o dashboard</t>
  </si>
  <si>
    <t>⬆  TOTAL ENTRADAS</t>
  </si>
  <si>
    <t>⬇  TOTAL SAÍDAS</t>
  </si>
  <si>
    <t>💰  SALDO DO MÊS</t>
  </si>
  <si>
    <t>Receitas do mês</t>
  </si>
  <si>
    <t>Despesas do mês</t>
  </si>
  <si>
    <t>Resultado líquido</t>
  </si>
  <si>
    <t>📈  % ECONOMIZADO</t>
  </si>
  <si>
    <t>Contas recorrentes</t>
  </si>
  <si>
    <t>Despesas do dia a dia</t>
  </si>
  <si>
    <t>Taxa de poupança</t>
  </si>
  <si>
    <t>🩺  INDICADOR DE SAÚDE FINANCEIRA</t>
  </si>
  <si>
    <t>Economia anual estimada:</t>
  </si>
  <si>
    <t>Meta de economia:</t>
  </si>
  <si>
    <t>📈  EVOLUÇÃO MENSAL  (Entradas vs Saídas)</t>
  </si>
  <si>
    <t>🍩  GASTOS POR CATEGORIA</t>
  </si>
  <si>
    <t>🏆  TOP GASTOS DO MÊS</t>
  </si>
  <si>
    <t>#</t>
  </si>
  <si>
    <t>Descrição</t>
  </si>
  <si>
    <t>Categoria</t>
  </si>
  <si>
    <t>Valor (¥)</t>
  </si>
  <si>
    <t>% do Total</t>
  </si>
  <si>
    <t>📝  OBSERVAÇÕES DO MÊS</t>
  </si>
  <si>
    <t>Escreva aqui suas observações, metas e lembretes do mês...</t>
  </si>
  <si>
    <t>📊  COMPARATIVO — ÚLTIMOS 6 MESES POR CATEGORIA</t>
  </si>
  <si>
    <t>Mês</t>
  </si>
  <si>
    <t>CATEGORIA</t>
  </si>
  <si>
    <t>M-5</t>
  </si>
  <si>
    <t>M-4</t>
  </si>
  <si>
    <t>M-3</t>
  </si>
  <si>
    <t>M-2</t>
  </si>
  <si>
    <t>M-1</t>
  </si>
  <si>
    <t>Atual</t>
  </si>
  <si>
    <t>Ago</t>
  </si>
  <si>
    <t>Set</t>
  </si>
  <si>
    <t>Out</t>
  </si>
  <si>
    <t>Nov</t>
  </si>
  <si>
    <t>Dez</t>
  </si>
  <si>
    <t>Entradas</t>
  </si>
  <si>
    <t>Mercado</t>
  </si>
  <si>
    <t>Saídas</t>
  </si>
  <si>
    <t>Economia</t>
  </si>
  <si>
    <t>Carro</t>
  </si>
  <si>
    <t>Restaurante</t>
  </si>
  <si>
    <t>Internet/Cel</t>
  </si>
  <si>
    <t>Saúde</t>
  </si>
  <si>
    <t>Outros</t>
  </si>
  <si>
    <t>📋  MOVIMENTAÇÕES FINANCEIRAS</t>
  </si>
  <si>
    <t>⚡  LANÇAMENTO RÁPIDO — edite o valor, copie a linha para a tabela principal</t>
  </si>
  <si>
    <t>DATA</t>
  </si>
  <si>
    <t>DESCRIÇÃO</t>
  </si>
  <si>
    <t>VALOR (¥)</t>
  </si>
  <si>
    <t>PAGAMENTO</t>
  </si>
  <si>
    <t>OBS</t>
  </si>
  <si>
    <t>Entrada</t>
  </si>
  <si>
    <t>Transferência Bancária</t>
  </si>
  <si>
    <t>← edite valor e data, depois copie esta linha para abaixo</t>
  </si>
  <si>
    <t>Saída</t>
  </si>
  <si>
    <t>Débito Automático</t>
  </si>
  <si>
    <t>Rakuten Pay</t>
  </si>
  <si>
    <t>Gasolina</t>
  </si>
  <si>
    <t>PayPay</t>
  </si>
  <si>
    <t>Konbini</t>
  </si>
  <si>
    <t>Dinheiro</t>
  </si>
  <si>
    <t>OBSERVAÇÕES</t>
  </si>
  <si>
    <t>Salário janeiro</t>
  </si>
  <si>
    <t>Hora extra janeiro</t>
  </si>
  <si>
    <t>Aluguel janeiro</t>
  </si>
  <si>
    <t>Compras da semana</t>
  </si>
  <si>
    <t>Internet NTT</t>
  </si>
  <si>
    <t>Celular Docomo</t>
  </si>
  <si>
    <t>Gasolina ENEOS</t>
  </si>
  <si>
    <t>Konbini 7-Eleven</t>
  </si>
  <si>
    <t>TOTAL ENTRADAS:</t>
  </si>
  <si>
    <t>TOTAL SAÍDAS:</t>
  </si>
  <si>
    <t>🏠  GASTOS FIXOS MENSAIS</t>
  </si>
  <si>
    <t>CONTA / SERVIÇO</t>
  </si>
  <si>
    <t>VENCIMENTO</t>
  </si>
  <si>
    <t>STATUS</t>
  </si>
  <si>
    <t>DIAS P/ VENCER</t>
  </si>
  <si>
    <t>Dia 01</t>
  </si>
  <si>
    <t>Moradia</t>
  </si>
  <si>
    <t>Pendente</t>
  </si>
  <si>
    <r>
      <rPr>
        <sz val="10"/>
        <color rgb="FFC9D1D9"/>
        <rFont val="Calibri"/>
        <family val="2"/>
      </rPr>
      <t>Luz – TEPCO/</t>
    </r>
    <r>
      <rPr>
        <sz val="10"/>
        <color rgb="FFC9D1D9"/>
        <rFont val="Noto Sans CJK SC"/>
        <family val="2"/>
      </rPr>
      <t>関電</t>
    </r>
  </si>
  <si>
    <t>Dia 20</t>
  </si>
  <si>
    <t>Utilities</t>
  </si>
  <si>
    <r>
      <rPr>
        <sz val="10"/>
        <color rgb="FFC9D1D9"/>
        <rFont val="Calibri"/>
        <family val="2"/>
      </rPr>
      <t xml:space="preserve">Água – </t>
    </r>
    <r>
      <rPr>
        <sz val="10"/>
        <color rgb="FFC9D1D9"/>
        <rFont val="Noto Sans CJK SC"/>
        <family val="2"/>
      </rPr>
      <t>水道</t>
    </r>
  </si>
  <si>
    <t>Dia 25</t>
  </si>
  <si>
    <r>
      <rPr>
        <sz val="10"/>
        <color rgb="FFC9D1D9"/>
        <rFont val="Calibri"/>
        <family val="2"/>
      </rPr>
      <t xml:space="preserve">Gás – </t>
    </r>
    <r>
      <rPr>
        <sz val="10"/>
        <color rgb="FFC9D1D9"/>
        <rFont val="Noto Sans CJK SC"/>
        <family val="2"/>
      </rPr>
      <t>ガス</t>
    </r>
  </si>
  <si>
    <t>Dia 15</t>
  </si>
  <si>
    <r>
      <rPr>
        <sz val="10"/>
        <color rgb="FFC9D1D9"/>
        <rFont val="Calibri"/>
        <family val="2"/>
      </rPr>
      <t>Internet – NTT/</t>
    </r>
    <r>
      <rPr>
        <sz val="10"/>
        <color rgb="FFC9D1D9"/>
        <rFont val="Noto Sans CJK SC"/>
        <family val="2"/>
      </rPr>
      <t>光</t>
    </r>
  </si>
  <si>
    <t>Dia 27</t>
  </si>
  <si>
    <t>Comunicação</t>
  </si>
  <si>
    <t>Celular – Docomo/AU</t>
  </si>
  <si>
    <t>Dia 10</t>
  </si>
  <si>
    <t>Seguros</t>
  </si>
  <si>
    <t>Dia 18</t>
  </si>
  <si>
    <t>Dia 22</t>
  </si>
  <si>
    <t>Educação</t>
  </si>
  <si>
    <t>Preencha se aplicável</t>
  </si>
  <si>
    <t>-</t>
  </si>
  <si>
    <t>📊  RESUMO DOS GASTOS FIXOS</t>
  </si>
  <si>
    <t>Total Mensal Fixo:</t>
  </si>
  <si>
    <t>Contas Pagas:</t>
  </si>
  <si>
    <t>Total Pago:</t>
  </si>
  <si>
    <t>Total Pendente:</t>
  </si>
  <si>
    <t>Total Atrasado:</t>
  </si>
  <si>
    <t>% do Mês Pago:</t>
  </si>
  <si>
    <t>🔴 Vence em até 3 dias   🟡 Vence em até 7 dias   🟢 OK</t>
  </si>
  <si>
    <t>📅  PLANEJAMENTO MENSAL</t>
  </si>
  <si>
    <t>← Mês de referência: Dashboard L2</t>
  </si>
  <si>
    <t>PREVISTO (¥)</t>
  </si>
  <si>
    <t>REALIZADO (¥)</t>
  </si>
  <si>
    <t>DIFERENÇA (¥)</t>
  </si>
  <si>
    <t>▲  ENTRADAS</t>
  </si>
  <si>
    <t>Arubaito/Extra</t>
  </si>
  <si>
    <t>TOTAL ENTRADAS</t>
  </si>
  <si>
    <t>🏠  GASTOS FIXOS  (puxados automaticamente da aba Gastos Fixos)</t>
  </si>
  <si>
    <t>💡 Os valores abaixo são lidos direto da aba 🏠 Gastos Fixos — não precisa redigitar nada.</t>
  </si>
  <si>
    <t>Outros fixos</t>
  </si>
  <si>
    <t>🛒  GASTOS VARIÁVEIS  (defina o limite abaixo — realizado vem automático)</t>
  </si>
  <si>
    <t>💰  RESULTADO DO MÊS</t>
  </si>
  <si>
    <t>🎯  POUPAR P/ METAS  (calculado automaticamente da aba Metas)</t>
  </si>
  <si>
    <t>TOTAL P/ METAS</t>
  </si>
  <si>
    <t>🎯  METAS FINANCEIRAS</t>
  </si>
  <si>
    <t>META</t>
  </si>
  <si>
    <t>VALOR ALVO (¥)</t>
  </si>
  <si>
    <t>ATUAL (¥)</t>
  </si>
  <si>
    <t>FALTA (¥)</t>
  </si>
  <si>
    <t>PRAZO</t>
  </si>
  <si>
    <t>PROGRESSO</t>
  </si>
  <si>
    <t>PRIORIDADE</t>
  </si>
  <si>
    <t>¥/MÊS NECESSÁRIO</t>
  </si>
  <si>
    <t>2025-12</t>
  </si>
  <si>
    <t>🔴 Alta</t>
  </si>
  <si>
    <t>2026-03</t>
  </si>
  <si>
    <t>🟡 Média</t>
  </si>
  <si>
    <t>2027-01</t>
  </si>
  <si>
    <t>🟢 Baixa</t>
  </si>
  <si>
    <t>2025-06</t>
  </si>
  <si>
    <t>2028-12</t>
  </si>
  <si>
    <t>Total a acumular:</t>
  </si>
  <si>
    <t>📆  RESUMO ANUAL — EVOLUÇÃO DOS 12 MESES</t>
  </si>
  <si>
    <t>Jan</t>
  </si>
  <si>
    <t>Fev</t>
  </si>
  <si>
    <t>Mar</t>
  </si>
  <si>
    <t>Abr</t>
  </si>
  <si>
    <t>Mai</t>
  </si>
  <si>
    <t>Jun</t>
  </si>
  <si>
    <t>Jul</t>
  </si>
  <si>
    <t>TOTAL</t>
  </si>
  <si>
    <t>── ENTRADAS ──</t>
  </si>
  <si>
    <t>── SAÍDAS ──</t>
  </si>
  <si>
    <t>Mercado/Konbini</t>
  </si>
  <si>
    <t>── RESULTADO ──</t>
  </si>
  <si>
    <t>📈  EVOLUÇÃO ANUAL — Entradas, Saídas e Economia</t>
  </si>
  <si>
    <t>💡  SIMULADOR DE ECONOMIA</t>
  </si>
  <si>
    <t>⚙️  PARÂMETROS</t>
  </si>
  <si>
    <t>Renda mensal atual (¥):</t>
  </si>
  <si>
    <t>← Digite aqui</t>
  </si>
  <si>
    <t>Gastos fixos mensais (¥):</t>
  </si>
  <si>
    <t>Quanto pretende guardar/mês (¥):</t>
  </si>
  <si>
    <t>Rendimento anual estimado (%):</t>
  </si>
  <si>
    <t>Já tenho guardado (¥):</t>
  </si>
  <si>
    <t>📊  PROJEÇÃO DE ACÚMULO</t>
  </si>
  <si>
    <t>PERÍODO</t>
  </si>
  <si>
    <t>POUPADO (¥)</t>
  </si>
  <si>
    <t>RENDIMENTO (¥)</t>
  </si>
  <si>
    <t>TOTAL ACUM. (¥)</t>
  </si>
  <si>
    <t>SOBRA LIVRE (¥)</t>
  </si>
  <si>
    <t>3 meses</t>
  </si>
  <si>
    <t>6 meses</t>
  </si>
  <si>
    <t>12 meses</t>
  </si>
  <si>
    <t>18 meses</t>
  </si>
  <si>
    <t>24 meses</t>
  </si>
  <si>
    <t>36 meses</t>
  </si>
  <si>
    <t>48 meses</t>
  </si>
  <si>
    <t>60 meses</t>
  </si>
  <si>
    <t>💡  Altere os valores em C6:C10 para simular diferentes cenários. O rendimento usa juros compostos mensais.</t>
  </si>
  <si>
    <t>Pago</t>
  </si>
  <si>
    <t xml:space="preserve">Restaurante </t>
    <phoneticPr fontId="84"/>
  </si>
  <si>
    <t xml:space="preserve">Mercado </t>
    <phoneticPr fontId="84"/>
  </si>
  <si>
    <r>
      <rPr>
        <b/>
        <sz val="10"/>
        <color rgb="FFE6EDF3"/>
        <rFont val="Segoe UI Emoji"/>
        <family val="2"/>
      </rPr>
      <t>✈️</t>
    </r>
    <r>
      <rPr>
        <b/>
        <sz val="10"/>
        <color rgb="FFE6EDF3"/>
        <rFont val="Calibri"/>
        <family val="2"/>
      </rPr>
      <t xml:space="preserve"> Viagem</t>
    </r>
    <phoneticPr fontId="84"/>
  </si>
  <si>
    <r>
      <rPr>
        <b/>
        <sz val="11"/>
        <color rgb="FFE6EDF3"/>
        <rFont val="Segoe UI Emoji"/>
        <family val="2"/>
      </rPr>
      <t>✈️</t>
    </r>
    <r>
      <rPr>
        <b/>
        <sz val="11"/>
        <color rgb="FFE6EDF3"/>
        <rFont val="Calibri"/>
        <family val="2"/>
      </rPr>
      <t xml:space="preserve"> Viagem</t>
    </r>
    <phoneticPr fontId="84"/>
  </si>
  <si>
    <t>Carro Financiamento</t>
    <phoneticPr fontId="84"/>
  </si>
  <si>
    <t>R</t>
  </si>
  <si>
    <t>2025-05</t>
    <phoneticPr fontId="8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</si>
</sst>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\¥#,##0"/>
    <numFmt numFmtId="177" formatCode="0.0%"/>
    <numFmt numFmtId="178" formatCode="mm/dd/yy"/>
    <numFmt numFmtId="179" formatCode="\¥#,##0;&quot;(¥&quot;#,##0\);\-"/>
    <numFmt numFmtId="180" formatCode="yyyy\-mm\-dd"/>
    <numFmt numFmtId="181" formatCode="dd/mm/yyyy"/>
  </numFmts>
  <fonts count="92">
    <font>
      <sz val="11"/>
      <color theme="1"/>
      <name val="Calibri"/>
      <family val="2"/>
      <charset val="1"/>
    </font>
    <font>
      <b/>
      <sz val="16"/>
      <color rgb="FF8B5CF6"/>
      <name val="Calibri"/>
      <charset val="1"/>
    </font>
    <font>
      <i/>
      <sz val="8"/>
      <color rgb="FF8B949E"/>
      <name val="Calibri"/>
      <charset val="1"/>
    </font>
    <font>
      <b/>
      <sz val="9"/>
      <color rgb="FF8B949E"/>
      <name val="Calibri"/>
      <charset val="1"/>
    </font>
    <font>
      <b/>
      <sz val="9"/>
      <color rgb="FF2F81F7"/>
      <name val="Calibri"/>
      <charset val="1"/>
    </font>
    <font>
      <b/>
      <sz val="11"/>
      <color rgb="FF3FB950"/>
      <name val="Calibri"/>
      <charset val="1"/>
    </font>
    <font>
      <b/>
      <sz val="10"/>
      <color rgb="FFE6EDF3"/>
      <name val="Calibri"/>
      <charset val="1"/>
    </font>
    <font>
      <b/>
      <sz val="8"/>
      <color rgb="FFE3B341"/>
      <name val="Calibri"/>
      <charset val="1"/>
    </font>
    <font>
      <sz val="10"/>
      <color rgb="FFC9D1D9"/>
      <name val="Calibri"/>
      <charset val="1"/>
    </font>
    <font>
      <b/>
      <sz val="8"/>
      <color rgb="FF2F81F7"/>
      <name val="Calibri"/>
      <charset val="1"/>
    </font>
    <font>
      <sz val="11"/>
      <color rgb="FF3FB950"/>
      <name val="Calibri"/>
      <charset val="1"/>
    </font>
    <font>
      <b/>
      <sz val="10"/>
      <color rgb="FF3FB950"/>
      <name val="Calibri"/>
      <charset val="1"/>
    </font>
    <font>
      <b/>
      <sz val="12"/>
      <color rgb="FF3FB950"/>
      <name val="Calibri"/>
      <charset val="1"/>
    </font>
    <font>
      <b/>
      <sz val="12"/>
      <color rgb="FF2F81F7"/>
      <name val="Calibri"/>
      <charset val="1"/>
    </font>
    <font>
      <b/>
      <sz val="11"/>
      <color rgb="FFE3B341"/>
      <name val="Calibri"/>
      <charset val="1"/>
    </font>
    <font>
      <sz val="11"/>
      <color rgb="FFE3B341"/>
      <name val="Calibri"/>
      <charset val="1"/>
    </font>
    <font>
      <sz val="11"/>
      <color rgb="FF2F81F7"/>
      <name val="Calibri"/>
      <charset val="1"/>
    </font>
    <font>
      <b/>
      <sz val="11"/>
      <color rgb="FF2F81F7"/>
      <name val="Calibri"/>
      <charset val="1"/>
    </font>
    <font>
      <b/>
      <sz val="10"/>
      <color rgb="FFE3B341"/>
      <name val="Calibri"/>
      <charset val="1"/>
    </font>
    <font>
      <b/>
      <sz val="12"/>
      <color rgb="FFE3B341"/>
      <name val="Calibri"/>
      <charset val="1"/>
    </font>
    <font>
      <b/>
      <sz val="11"/>
      <color rgb="FFF85149"/>
      <name val="Calibri"/>
      <charset val="1"/>
    </font>
    <font>
      <sz val="11"/>
      <color rgb="FFF85149"/>
      <name val="Calibri"/>
      <charset val="1"/>
    </font>
    <font>
      <b/>
      <sz val="10"/>
      <color rgb="FFF85149"/>
      <name val="Calibri"/>
      <charset val="1"/>
    </font>
    <font>
      <b/>
      <sz val="12"/>
      <color rgb="FFF85149"/>
      <name val="Calibri"/>
      <charset val="1"/>
    </font>
    <font>
      <b/>
      <sz val="11"/>
      <color rgb="FF8B5CF6"/>
      <name val="Calibri"/>
      <charset val="1"/>
    </font>
    <font>
      <b/>
      <sz val="8"/>
      <color rgb="FF8B5CF6"/>
      <name val="Calibri"/>
      <charset val="1"/>
    </font>
    <font>
      <sz val="11"/>
      <color rgb="FF8B5CF6"/>
      <name val="Calibri"/>
      <charset val="1"/>
    </font>
    <font>
      <b/>
      <sz val="8"/>
      <color rgb="FF39C5CF"/>
      <name val="Calibri"/>
      <charset val="1"/>
    </font>
    <font>
      <b/>
      <sz val="11"/>
      <color rgb="FF39C5CF"/>
      <name val="Calibri"/>
      <charset val="1"/>
    </font>
    <font>
      <b/>
      <sz val="8"/>
      <color rgb="FF3FB950"/>
      <name val="Calibri"/>
      <charset val="1"/>
    </font>
    <font>
      <sz val="9"/>
      <color rgb="FF3FB950"/>
      <name val="Calibri"/>
      <charset val="1"/>
    </font>
    <font>
      <b/>
      <sz val="7"/>
      <color rgb="FF8B949E"/>
      <name val="Calibri"/>
      <charset val="1"/>
    </font>
    <font>
      <b/>
      <sz val="10"/>
      <color rgb="FF2F81F7"/>
      <name val="Calibri"/>
      <charset val="1"/>
    </font>
    <font>
      <b/>
      <sz val="10"/>
      <color rgb="FF8B5CF6"/>
      <name val="Calibri"/>
      <charset val="1"/>
    </font>
    <font>
      <b/>
      <sz val="12"/>
      <color rgb="FF8B5CF6"/>
      <name val="Calibri"/>
      <charset val="1"/>
    </font>
    <font>
      <b/>
      <sz val="10"/>
      <color rgb="FF39C5CF"/>
      <name val="Calibri"/>
      <charset val="1"/>
    </font>
    <font>
      <b/>
      <sz val="11"/>
      <color rgb="FFE6EDF3"/>
      <name val="Calibri"/>
      <charset val="1"/>
    </font>
    <font>
      <sz val="7"/>
      <color rgb="FF0D1117"/>
      <name val="Cambria"/>
      <charset val="1"/>
    </font>
    <font>
      <b/>
      <sz val="16"/>
      <color rgb="FF2F81F7"/>
      <name val="Calibri"/>
      <charset val="1"/>
    </font>
    <font>
      <sz val="8"/>
      <color rgb="FF8B949E"/>
      <name val="Calibri"/>
      <charset val="1"/>
    </font>
    <font>
      <sz val="9"/>
      <color rgb="FF8B949E"/>
      <name val="Calibri"/>
      <charset val="1"/>
    </font>
    <font>
      <b/>
      <sz val="18"/>
      <color rgb="FF3FB950"/>
      <name val="Calibri"/>
      <charset val="1"/>
    </font>
    <font>
      <b/>
      <sz val="18"/>
      <color rgb="FFF85149"/>
      <name val="Calibri"/>
      <charset val="1"/>
    </font>
    <font>
      <b/>
      <sz val="18"/>
      <color rgb="FF2F81F7"/>
      <name val="Calibri"/>
      <charset val="1"/>
    </font>
    <font>
      <b/>
      <sz val="18"/>
      <color rgb="FFE3B341"/>
      <name val="Calibri"/>
      <charset val="1"/>
    </font>
    <font>
      <b/>
      <sz val="18"/>
      <color rgb="FFFF6B35"/>
      <name val="Calibri"/>
      <charset val="1"/>
    </font>
    <font>
      <b/>
      <sz val="18"/>
      <color rgb="FF8B5CF6"/>
      <name val="Calibri"/>
      <charset val="1"/>
    </font>
    <font>
      <sz val="11"/>
      <color rgb="FFE6EDF3"/>
      <name val="Calibri"/>
      <charset val="1"/>
    </font>
    <font>
      <b/>
      <sz val="12"/>
      <color rgb="FFE6EDF3"/>
      <name val="Calibri"/>
      <charset val="1"/>
    </font>
    <font>
      <b/>
      <sz val="10"/>
      <color rgb="FFC9D1D9"/>
      <name val="Calibri"/>
      <charset val="1"/>
    </font>
    <font>
      <sz val="10"/>
      <color rgb="FF8B949E"/>
      <name val="Calibri"/>
      <charset val="1"/>
    </font>
    <font>
      <sz val="8"/>
      <color rgb="FF0D1117"/>
      <name val="Cambria"/>
      <charset val="1"/>
    </font>
    <font>
      <sz val="8"/>
      <color rgb="FF0D1117"/>
      <name val="Calibri"/>
      <charset val="1"/>
    </font>
    <font>
      <sz val="11"/>
      <color rgb="FF0D1117"/>
      <name val="Calibri"/>
      <charset val="1"/>
    </font>
    <font>
      <sz val="9"/>
      <color rgb="FFC9D1D9"/>
      <name val="Calibri"/>
      <charset val="1"/>
    </font>
    <font>
      <sz val="9"/>
      <color rgb="FF2F81F7"/>
      <name val="Calibri"/>
      <charset val="1"/>
    </font>
    <font>
      <b/>
      <sz val="14"/>
      <color rgb="FF3FB950"/>
      <name val="Calibri"/>
      <charset val="1"/>
    </font>
    <font>
      <b/>
      <sz val="8"/>
      <color rgb="FF8B949E"/>
      <name val="Calibri"/>
      <charset val="1"/>
    </font>
    <font>
      <b/>
      <sz val="9"/>
      <color rgb="FF3FB950"/>
      <name val="Calibri"/>
      <charset val="1"/>
    </font>
    <font>
      <b/>
      <sz val="9"/>
      <color rgb="FFF85149"/>
      <name val="Calibri"/>
      <charset val="1"/>
    </font>
    <font>
      <b/>
      <sz val="9"/>
      <color rgb="FFC9D1D9"/>
      <name val="Calibri"/>
      <charset val="1"/>
    </font>
    <font>
      <b/>
      <sz val="14"/>
      <color rgb="FFE3B341"/>
      <name val="Calibri"/>
      <charset val="1"/>
    </font>
    <font>
      <b/>
      <sz val="9"/>
      <color rgb="FFE3B341"/>
      <name val="Calibri"/>
      <charset val="1"/>
    </font>
    <font>
      <sz val="10"/>
      <color rgb="FFC9D1D9"/>
      <name val="Noto Sans CJK SC"/>
      <family val="2"/>
    </font>
    <font>
      <b/>
      <sz val="16"/>
      <color rgb="FFE3B341"/>
      <name val="Calibri"/>
      <family val="2"/>
    </font>
    <font>
      <b/>
      <sz val="13"/>
      <color rgb="FF3FB950"/>
      <name val="Calibri"/>
      <family val="2"/>
    </font>
    <font>
      <b/>
      <sz val="13"/>
      <color rgb="FFE3B341"/>
      <name val="Calibri"/>
      <family val="2"/>
    </font>
    <font>
      <b/>
      <sz val="13"/>
      <color rgb="FFF85149"/>
      <name val="Calibri"/>
      <family val="2"/>
    </font>
    <font>
      <b/>
      <sz val="13"/>
      <color rgb="FF8B5CF6"/>
      <name val="Calibri"/>
      <family val="2"/>
    </font>
    <font>
      <b/>
      <sz val="14"/>
      <color rgb="FF2F81F7"/>
      <name val="Calibri"/>
      <family val="2"/>
    </font>
    <font>
      <b/>
      <sz val="11"/>
      <color rgb="FFC9D1D9"/>
      <name val="Calibri"/>
      <family val="2"/>
    </font>
    <font>
      <b/>
      <sz val="12"/>
      <color rgb="FFC9D1D9"/>
      <name val="Calibri"/>
      <family val="2"/>
    </font>
    <font>
      <sz val="11"/>
      <color rgb="FFC9D1D9"/>
      <name val="Calibri"/>
      <family val="2"/>
    </font>
    <font>
      <b/>
      <sz val="9"/>
      <color rgb="FF8B5CF6"/>
      <name val="Calibri"/>
      <family val="2"/>
    </font>
    <font>
      <b/>
      <sz val="9"/>
      <color rgb="FF39C5CF"/>
      <name val="Calibri"/>
      <family val="2"/>
    </font>
    <font>
      <sz val="11"/>
      <color rgb="FF39C5CF"/>
      <name val="Calibri"/>
      <family val="2"/>
    </font>
    <font>
      <sz val="11"/>
      <color rgb="FF8B949E"/>
      <name val="Calibri"/>
      <family val="2"/>
    </font>
    <font>
      <b/>
      <sz val="12"/>
      <color rgb="FF39C5CF"/>
      <name val="Calibri"/>
      <family val="2"/>
    </font>
    <font>
      <b/>
      <sz val="14"/>
      <color rgb="FF8B5CF6"/>
      <name val="Calibri"/>
      <family val="2"/>
    </font>
    <font>
      <b/>
      <sz val="14"/>
      <color rgb="FF39C5CF"/>
      <name val="Calibri"/>
      <family val="2"/>
    </font>
    <font>
      <b/>
      <sz val="14"/>
      <color rgb="FFFF6B35"/>
      <name val="Calibri"/>
      <family val="2"/>
    </font>
    <font>
      <sz val="10"/>
      <color rgb="FF2F81F7"/>
      <name val="Calibri"/>
      <family val="2"/>
    </font>
    <font>
      <sz val="10"/>
      <color rgb="FF8B5CF6"/>
      <name val="Calibri"/>
      <family val="2"/>
    </font>
    <font>
      <sz val="10"/>
      <color rgb="FFC9D1D9"/>
      <name val="Calibri"/>
      <family val="2"/>
    </font>
    <font>
      <sz val="6"/>
      <name val="HGGothicE"/>
      <family val="3"/>
      <charset val="128"/>
    </font>
    <font>
      <b/>
      <sz val="10"/>
      <color rgb="FFE6EDF3"/>
      <name val="Segoe UI Emoji"/>
      <family val="2"/>
    </font>
    <font>
      <b/>
      <sz val="10"/>
      <color rgb="FFE6EDF3"/>
      <name val="Calibri"/>
      <family val="2"/>
    </font>
    <font>
      <b/>
      <sz val="10"/>
      <color rgb="FFE6EDF3"/>
      <name val="Calibri"/>
      <family val="2"/>
      <charset val="1"/>
    </font>
    <font>
      <b/>
      <sz val="11"/>
      <color rgb="FFE6EDF3"/>
      <name val="Segoe UI Emoji"/>
      <family val="2"/>
    </font>
    <font>
      <b/>
      <sz val="11"/>
      <color rgb="FFE6EDF3"/>
      <name val="Calibri"/>
      <family val="2"/>
    </font>
    <font>
      <b/>
      <sz val="11"/>
      <color rgb="FFE6EDF3"/>
      <name val="Calibri"/>
      <family val="2"/>
      <charset val="1"/>
    </font>
    <font>
      <b/>
      <sz val="11"/>
      <color rgb="FFE3B34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8B5CF6"/>
        <bgColor rgb="FF725990"/>
      </patternFill>
    </fill>
    <fill>
      <patternFill patternType="solid">
        <fgColor rgb="FF21262D"/>
        <bgColor rgb="FF1C2128"/>
      </patternFill>
    </fill>
    <fill>
      <patternFill patternType="solid">
        <fgColor rgb="FF3FB950"/>
        <bgColor rgb="FF4299B0"/>
      </patternFill>
    </fill>
    <fill>
      <patternFill patternType="solid">
        <fgColor rgb="FF0D2137"/>
        <bgColor rgb="FF0D2A2A"/>
      </patternFill>
    </fill>
    <fill>
      <patternFill patternType="solid">
        <fgColor rgb="FF1C2128"/>
        <bgColor rgb="FF21262D"/>
      </patternFill>
    </fill>
    <fill>
      <patternFill patternType="solid">
        <fgColor rgb="FF0D1117"/>
        <bgColor rgb="FF161B22"/>
      </patternFill>
    </fill>
    <fill>
      <patternFill patternType="solid">
        <fgColor rgb="FFE3B341"/>
        <bgColor rgb="FFDC853E"/>
      </patternFill>
    </fill>
    <fill>
      <patternFill patternType="solid">
        <fgColor rgb="FFF85149"/>
        <bgColor rgb="FFFF6B35"/>
      </patternFill>
    </fill>
    <fill>
      <patternFill patternType="solid">
        <fgColor rgb="FF0D2A2A"/>
        <bgColor rgb="FF0D2137"/>
      </patternFill>
    </fill>
    <fill>
      <patternFill patternType="solid">
        <fgColor rgb="FF161B22"/>
        <bgColor rgb="FF1C2128"/>
      </patternFill>
    </fill>
    <fill>
      <patternFill patternType="solid">
        <fgColor rgb="FF39C5CF"/>
        <bgColor rgb="FF00CCFF"/>
      </patternFill>
    </fill>
    <fill>
      <patternFill patternType="solid">
        <fgColor rgb="FF2F81F7"/>
        <bgColor rgb="FF4F81BD"/>
      </patternFill>
    </fill>
    <fill>
      <patternFill patternType="solid">
        <fgColor rgb="FFFF6B35"/>
        <bgColor rgb="FFF85149"/>
      </patternFill>
    </fill>
  </fills>
  <borders count="3">
    <border>
      <left/>
      <right/>
      <top/>
      <bottom/>
      <diagonal/>
    </border>
    <border>
      <left style="thin">
        <color rgb="FF30363D"/>
      </left>
      <right style="thin">
        <color rgb="FF30363D"/>
      </right>
      <top style="thin">
        <color rgb="FF30363D"/>
      </top>
      <bottom style="thin">
        <color rgb="FF30363D"/>
      </bottom>
      <diagonal/>
    </border>
    <border>
      <left style="thin">
        <color rgb="FF30363D"/>
      </left>
      <right/>
      <top style="thin">
        <color rgb="FF30363D"/>
      </top>
      <bottom style="thin">
        <color rgb="FF30363D"/>
      </bottom>
      <diagonal/>
    </border>
  </borders>
  <cellStyleXfs count="1">
    <xf numFmtId="0" fontId="0" fillId="0" borderId="0"/>
  </cellStyleXfs>
  <cellXfs count="263">
    <xf numFmtId="0" fontId="0" fillId="0" borderId="0" xfId="0"/>
    <xf numFmtId="0" fontId="40" fillId="11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0" fillId="2" borderId="0" xfId="0" applyFill="1"/>
    <xf numFmtId="0" fontId="0" fillId="3" borderId="0" xfId="0" applyFill="1"/>
    <xf numFmtId="0" fontId="3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4" borderId="0" xfId="0" applyFill="1"/>
    <xf numFmtId="0" fontId="0" fillId="5" borderId="0" xfId="0" applyFill="1"/>
    <xf numFmtId="0" fontId="6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center" vertical="center"/>
    </xf>
    <xf numFmtId="176" fontId="5" fillId="5" borderId="1" xfId="0" applyNumberFormat="1" applyFont="1" applyFill="1" applyBorder="1" applyAlignment="1">
      <alignment horizontal="right" vertical="center"/>
    </xf>
    <xf numFmtId="0" fontId="0" fillId="6" borderId="0" xfId="0" applyFill="1"/>
    <xf numFmtId="0" fontId="8" fillId="6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center" vertical="center"/>
    </xf>
    <xf numFmtId="176" fontId="10" fillId="6" borderId="1" xfId="0" applyNumberFormat="1" applyFont="1" applyFill="1" applyBorder="1" applyAlignment="1">
      <alignment horizontal="right" vertical="center"/>
    </xf>
    <xf numFmtId="176" fontId="5" fillId="6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center" vertical="center"/>
    </xf>
    <xf numFmtId="176" fontId="12" fillId="3" borderId="1" xfId="0" applyNumberFormat="1" applyFont="1" applyFill="1" applyBorder="1" applyAlignment="1">
      <alignment horizontal="right" vertical="center"/>
    </xf>
    <xf numFmtId="0" fontId="8" fillId="3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center" vertical="center"/>
    </xf>
    <xf numFmtId="176" fontId="13" fillId="3" borderId="1" xfId="0" applyNumberFormat="1" applyFont="1" applyFill="1" applyBorder="1" applyAlignment="1">
      <alignment horizontal="right" vertical="center"/>
    </xf>
    <xf numFmtId="0" fontId="0" fillId="7" borderId="0" xfId="0" applyFill="1"/>
    <xf numFmtId="0" fontId="0" fillId="8" borderId="0" xfId="0" applyFill="1"/>
    <xf numFmtId="176" fontId="15" fillId="5" borderId="1" xfId="0" applyNumberFormat="1" applyFont="1" applyFill="1" applyBorder="1" applyAlignment="1">
      <alignment horizontal="right" vertical="center"/>
    </xf>
    <xf numFmtId="176" fontId="14" fillId="5" borderId="1" xfId="0" applyNumberFormat="1" applyFont="1" applyFill="1" applyBorder="1" applyAlignment="1">
      <alignment horizontal="right" vertical="center"/>
    </xf>
    <xf numFmtId="176" fontId="16" fillId="6" borderId="1" xfId="0" applyNumberFormat="1" applyFont="1" applyFill="1" applyBorder="1" applyAlignment="1">
      <alignment horizontal="right" vertical="center"/>
    </xf>
    <xf numFmtId="176" fontId="17" fillId="6" borderId="1" xfId="0" applyNumberFormat="1" applyFont="1" applyFill="1" applyBorder="1" applyAlignment="1">
      <alignment horizontal="right" vertical="center"/>
    </xf>
    <xf numFmtId="0" fontId="14" fillId="3" borderId="1" xfId="0" applyFont="1" applyFill="1" applyBorder="1" applyAlignment="1">
      <alignment horizontal="left" vertical="center"/>
    </xf>
    <xf numFmtId="0" fontId="18" fillId="3" borderId="1" xfId="0" applyFont="1" applyFill="1" applyBorder="1" applyAlignment="1">
      <alignment horizontal="center" vertical="center"/>
    </xf>
    <xf numFmtId="176" fontId="19" fillId="3" borderId="1" xfId="0" applyNumberFormat="1" applyFont="1" applyFill="1" applyBorder="1" applyAlignment="1">
      <alignment horizontal="right" vertical="center"/>
    </xf>
    <xf numFmtId="0" fontId="0" fillId="9" borderId="0" xfId="0" applyFill="1"/>
    <xf numFmtId="176" fontId="20" fillId="5" borderId="1" xfId="0" applyNumberFormat="1" applyFont="1" applyFill="1" applyBorder="1" applyAlignment="1">
      <alignment horizontal="right" vertical="center"/>
    </xf>
    <xf numFmtId="176" fontId="21" fillId="6" borderId="1" xfId="0" applyNumberFormat="1" applyFont="1" applyFill="1" applyBorder="1" applyAlignment="1">
      <alignment horizontal="right" vertical="center"/>
    </xf>
    <xf numFmtId="176" fontId="20" fillId="6" borderId="1" xfId="0" applyNumberFormat="1" applyFont="1" applyFill="1" applyBorder="1" applyAlignment="1">
      <alignment horizontal="right" vertical="center"/>
    </xf>
    <xf numFmtId="0" fontId="20" fillId="3" borderId="1" xfId="0" applyFont="1" applyFill="1" applyBorder="1" applyAlignment="1">
      <alignment horizontal="left" vertical="center"/>
    </xf>
    <xf numFmtId="0" fontId="22" fillId="3" borderId="1" xfId="0" applyFont="1" applyFill="1" applyBorder="1" applyAlignment="1">
      <alignment horizontal="center" vertical="center"/>
    </xf>
    <xf numFmtId="176" fontId="23" fillId="3" borderId="1" xfId="0" applyNumberFormat="1" applyFont="1" applyFill="1" applyBorder="1" applyAlignment="1">
      <alignment horizontal="right" vertical="center"/>
    </xf>
    <xf numFmtId="0" fontId="25" fillId="5" borderId="1" xfId="0" applyFont="1" applyFill="1" applyBorder="1" applyAlignment="1">
      <alignment horizontal="center" vertical="center"/>
    </xf>
    <xf numFmtId="176" fontId="26" fillId="5" borderId="1" xfId="0" applyNumberFormat="1" applyFont="1" applyFill="1" applyBorder="1" applyAlignment="1">
      <alignment horizontal="right" vertical="center"/>
    </xf>
    <xf numFmtId="176" fontId="24" fillId="5" borderId="1" xfId="0" applyNumberFormat="1" applyFont="1" applyFill="1" applyBorder="1" applyAlignment="1">
      <alignment horizontal="right" vertical="center"/>
    </xf>
    <xf numFmtId="0" fontId="2" fillId="6" borderId="1" xfId="0" applyFont="1" applyFill="1" applyBorder="1" applyAlignment="1">
      <alignment horizontal="left" vertical="center"/>
    </xf>
    <xf numFmtId="0" fontId="27" fillId="6" borderId="1" xfId="0" applyFont="1" applyFill="1" applyBorder="1" applyAlignment="1">
      <alignment horizontal="center" vertical="center"/>
    </xf>
    <xf numFmtId="176" fontId="28" fillId="10" borderId="1" xfId="0" applyNumberFormat="1" applyFont="1" applyFill="1" applyBorder="1" applyAlignment="1">
      <alignment horizontal="right" vertical="center"/>
    </xf>
    <xf numFmtId="0" fontId="0" fillId="11" borderId="0" xfId="0" applyFill="1"/>
    <xf numFmtId="0" fontId="2" fillId="11" borderId="1" xfId="0" applyFont="1" applyFill="1" applyBorder="1" applyAlignment="1">
      <alignment horizontal="left" vertical="center"/>
    </xf>
    <xf numFmtId="0" fontId="29" fillId="11" borderId="1" xfId="0" applyFont="1" applyFill="1" applyBorder="1" applyAlignment="1">
      <alignment horizontal="center" vertical="center"/>
    </xf>
    <xf numFmtId="9" fontId="30" fillId="11" borderId="1" xfId="0" applyNumberFormat="1" applyFont="1" applyFill="1" applyBorder="1" applyAlignment="1">
      <alignment horizontal="center" vertical="center"/>
    </xf>
    <xf numFmtId="9" fontId="5" fillId="3" borderId="1" xfId="0" applyNumberFormat="1" applyFont="1" applyFill="1" applyBorder="1" applyAlignment="1">
      <alignment horizontal="center"/>
    </xf>
    <xf numFmtId="0" fontId="0" fillId="12" borderId="0" xfId="0" applyFill="1"/>
    <xf numFmtId="0" fontId="11" fillId="11" borderId="1" xfId="0" applyFont="1" applyFill="1" applyBorder="1" applyAlignment="1">
      <alignment horizontal="left" vertical="center"/>
    </xf>
    <xf numFmtId="0" fontId="31" fillId="11" borderId="1" xfId="0" applyFont="1" applyFill="1" applyBorder="1" applyAlignment="1">
      <alignment horizontal="center" vertical="center"/>
    </xf>
    <xf numFmtId="176" fontId="5" fillId="11" borderId="1" xfId="0" applyNumberFormat="1" applyFont="1" applyFill="1" applyBorder="1" applyAlignment="1">
      <alignment horizontal="right"/>
    </xf>
    <xf numFmtId="176" fontId="12" fillId="3" borderId="1" xfId="0" applyNumberFormat="1" applyFont="1" applyFill="1" applyBorder="1" applyAlignment="1">
      <alignment horizontal="right"/>
    </xf>
    <xf numFmtId="0" fontId="18" fillId="6" borderId="1" xfId="0" applyFont="1" applyFill="1" applyBorder="1" applyAlignment="1">
      <alignment horizontal="left" vertical="center"/>
    </xf>
    <xf numFmtId="0" fontId="31" fillId="6" borderId="1" xfId="0" applyFont="1" applyFill="1" applyBorder="1" applyAlignment="1">
      <alignment horizontal="center" vertical="center"/>
    </xf>
    <xf numFmtId="176" fontId="14" fillId="6" borderId="1" xfId="0" applyNumberFormat="1" applyFont="1" applyFill="1" applyBorder="1" applyAlignment="1">
      <alignment horizontal="right"/>
    </xf>
    <xf numFmtId="0" fontId="22" fillId="11" borderId="1" xfId="0" applyFont="1" applyFill="1" applyBorder="1" applyAlignment="1">
      <alignment horizontal="left" vertical="center"/>
    </xf>
    <xf numFmtId="176" fontId="20" fillId="11" borderId="1" xfId="0" applyNumberFormat="1" applyFont="1" applyFill="1" applyBorder="1" applyAlignment="1">
      <alignment horizontal="right"/>
    </xf>
    <xf numFmtId="0" fontId="22" fillId="6" borderId="1" xfId="0" applyFont="1" applyFill="1" applyBorder="1" applyAlignment="1">
      <alignment horizontal="left" vertical="center"/>
    </xf>
    <xf numFmtId="176" fontId="23" fillId="6" borderId="1" xfId="0" applyNumberFormat="1" applyFont="1" applyFill="1" applyBorder="1" applyAlignment="1">
      <alignment horizontal="right"/>
    </xf>
    <xf numFmtId="0" fontId="32" fillId="11" borderId="1" xfId="0" applyFont="1" applyFill="1" applyBorder="1" applyAlignment="1">
      <alignment horizontal="left" vertical="center"/>
    </xf>
    <xf numFmtId="176" fontId="13" fillId="11" borderId="1" xfId="0" applyNumberFormat="1" applyFont="1" applyFill="1" applyBorder="1" applyAlignment="1">
      <alignment horizontal="right"/>
    </xf>
    <xf numFmtId="0" fontId="33" fillId="6" borderId="1" xfId="0" applyFont="1" applyFill="1" applyBorder="1" applyAlignment="1">
      <alignment horizontal="left" vertical="center"/>
    </xf>
    <xf numFmtId="176" fontId="34" fillId="6" borderId="1" xfId="0" applyNumberFormat="1" applyFont="1" applyFill="1" applyBorder="1" applyAlignment="1">
      <alignment horizontal="right"/>
    </xf>
    <xf numFmtId="0" fontId="35" fillId="11" borderId="1" xfId="0" applyFont="1" applyFill="1" applyBorder="1" applyAlignment="1">
      <alignment horizontal="left" vertical="center"/>
    </xf>
    <xf numFmtId="177" fontId="28" fillId="11" borderId="1" xfId="0" applyNumberFormat="1" applyFont="1" applyFill="1" applyBorder="1" applyAlignment="1">
      <alignment horizontal="center"/>
    </xf>
    <xf numFmtId="177" fontId="28" fillId="3" borderId="1" xfId="0" applyNumberFormat="1" applyFont="1" applyFill="1" applyBorder="1" applyAlignment="1">
      <alignment horizontal="center"/>
    </xf>
    <xf numFmtId="0" fontId="11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center"/>
    </xf>
    <xf numFmtId="0" fontId="36" fillId="3" borderId="1" xfId="0" applyFont="1" applyFill="1" applyBorder="1" applyAlignment="1">
      <alignment horizontal="center"/>
    </xf>
    <xf numFmtId="178" fontId="37" fillId="7" borderId="0" xfId="0" applyNumberFormat="1" applyFont="1" applyFill="1"/>
    <xf numFmtId="0" fontId="0" fillId="13" borderId="0" xfId="0" applyFill="1"/>
    <xf numFmtId="0" fontId="0" fillId="14" borderId="0" xfId="0" applyFill="1"/>
    <xf numFmtId="176" fontId="5" fillId="11" borderId="0" xfId="0" applyNumberFormat="1" applyFont="1" applyFill="1" applyAlignment="1">
      <alignment horizontal="left" vertical="center"/>
    </xf>
    <xf numFmtId="176" fontId="24" fillId="11" borderId="0" xfId="0" applyNumberFormat="1" applyFont="1" applyFill="1" applyAlignment="1">
      <alignment horizontal="left" vertical="center"/>
    </xf>
    <xf numFmtId="0" fontId="40" fillId="11" borderId="0" xfId="0" applyFont="1" applyFill="1" applyAlignment="1">
      <alignment horizontal="center" vertical="center"/>
    </xf>
    <xf numFmtId="177" fontId="40" fillId="11" borderId="0" xfId="0" applyNumberFormat="1" applyFont="1" applyFill="1" applyAlignment="1">
      <alignment horizontal="center" vertical="center"/>
    </xf>
    <xf numFmtId="0" fontId="40" fillId="6" borderId="0" xfId="0" applyFont="1" applyFill="1" applyAlignment="1">
      <alignment horizontal="center" vertical="center"/>
    </xf>
    <xf numFmtId="177" fontId="40" fillId="6" borderId="0" xfId="0" applyNumberFormat="1" applyFont="1" applyFill="1" applyAlignment="1">
      <alignment horizontal="center" vertical="center"/>
    </xf>
    <xf numFmtId="0" fontId="51" fillId="7" borderId="0" xfId="0" applyFont="1" applyFill="1"/>
    <xf numFmtId="176" fontId="52" fillId="7" borderId="0" xfId="0" applyNumberFormat="1" applyFont="1" applyFill="1"/>
    <xf numFmtId="177" fontId="52" fillId="7" borderId="0" xfId="0" applyNumberFormat="1" applyFont="1" applyFill="1"/>
    <xf numFmtId="0" fontId="53" fillId="7" borderId="0" xfId="0" applyFont="1" applyFill="1"/>
    <xf numFmtId="180" fontId="52" fillId="7" borderId="0" xfId="0" applyNumberFormat="1" applyFont="1" applyFill="1"/>
    <xf numFmtId="0" fontId="8" fillId="11" borderId="1" xfId="0" applyFont="1" applyFill="1" applyBorder="1" applyAlignment="1">
      <alignment horizontal="left" vertical="center"/>
    </xf>
    <xf numFmtId="176" fontId="54" fillId="11" borderId="1" xfId="0" applyNumberFormat="1" applyFont="1" applyFill="1" applyBorder="1" applyAlignment="1">
      <alignment horizontal="right" vertical="center"/>
    </xf>
    <xf numFmtId="176" fontId="55" fillId="11" borderId="1" xfId="0" applyNumberFormat="1" applyFont="1" applyFill="1" applyBorder="1" applyAlignment="1">
      <alignment horizontal="right" vertical="center"/>
    </xf>
    <xf numFmtId="0" fontId="51" fillId="11" borderId="0" xfId="0" applyFont="1" applyFill="1"/>
    <xf numFmtId="176" fontId="54" fillId="6" borderId="1" xfId="0" applyNumberFormat="1" applyFont="1" applyFill="1" applyBorder="1" applyAlignment="1">
      <alignment horizontal="right" vertical="center"/>
    </xf>
    <xf numFmtId="176" fontId="55" fillId="6" borderId="1" xfId="0" applyNumberFormat="1" applyFont="1" applyFill="1" applyBorder="1" applyAlignment="1">
      <alignment horizontal="right" vertical="center"/>
    </xf>
    <xf numFmtId="0" fontId="51" fillId="6" borderId="0" xfId="0" applyFont="1" applyFill="1"/>
    <xf numFmtId="0" fontId="57" fillId="3" borderId="1" xfId="0" applyFont="1" applyFill="1" applyBorder="1" applyAlignment="1">
      <alignment horizontal="center" vertical="center"/>
    </xf>
    <xf numFmtId="181" fontId="40" fillId="11" borderId="1" xfId="0" applyNumberFormat="1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left" vertical="center"/>
    </xf>
    <xf numFmtId="0" fontId="40" fillId="11" borderId="1" xfId="0" applyFont="1" applyFill="1" applyBorder="1" applyAlignment="1">
      <alignment horizontal="left" vertical="center"/>
    </xf>
    <xf numFmtId="0" fontId="58" fillId="11" borderId="1" xfId="0" applyFont="1" applyFill="1" applyBorder="1" applyAlignment="1">
      <alignment horizontal="center" vertical="center"/>
    </xf>
    <xf numFmtId="176" fontId="49" fillId="11" borderId="1" xfId="0" applyNumberFormat="1" applyFont="1" applyFill="1" applyBorder="1" applyAlignment="1">
      <alignment horizontal="right" vertical="center"/>
    </xf>
    <xf numFmtId="181" fontId="40" fillId="6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40" fillId="6" borderId="1" xfId="0" applyFont="1" applyFill="1" applyBorder="1" applyAlignment="1">
      <alignment horizontal="left" vertical="center"/>
    </xf>
    <xf numFmtId="0" fontId="59" fillId="6" borderId="1" xfId="0" applyFont="1" applyFill="1" applyBorder="1" applyAlignment="1">
      <alignment horizontal="center" vertical="center"/>
    </xf>
    <xf numFmtId="176" fontId="49" fillId="6" borderId="1" xfId="0" applyNumberFormat="1" applyFont="1" applyFill="1" applyBorder="1" applyAlignment="1">
      <alignment horizontal="right" vertical="center"/>
    </xf>
    <xf numFmtId="0" fontId="59" fillId="11" borderId="1" xfId="0" applyFont="1" applyFill="1" applyBorder="1" applyAlignment="1">
      <alignment horizontal="center" vertical="center"/>
    </xf>
    <xf numFmtId="181" fontId="8" fillId="11" borderId="1" xfId="0" applyNumberFormat="1" applyFont="1" applyFill="1" applyBorder="1" applyAlignment="1">
      <alignment horizontal="center" vertical="center"/>
    </xf>
    <xf numFmtId="0" fontId="54" fillId="11" borderId="1" xfId="0" applyFont="1" applyFill="1" applyBorder="1" applyAlignment="1">
      <alignment horizontal="left" vertical="center"/>
    </xf>
    <xf numFmtId="0" fontId="60" fillId="11" borderId="1" xfId="0" applyFont="1" applyFill="1" applyBorder="1" applyAlignment="1">
      <alignment horizontal="center" vertical="center"/>
    </xf>
    <xf numFmtId="181" fontId="8" fillId="6" borderId="1" xfId="0" applyNumberFormat="1" applyFont="1" applyFill="1" applyBorder="1" applyAlignment="1">
      <alignment horizontal="center" vertical="center"/>
    </xf>
    <xf numFmtId="0" fontId="54" fillId="6" borderId="1" xfId="0" applyFont="1" applyFill="1" applyBorder="1" applyAlignment="1">
      <alignment horizontal="left" vertical="center"/>
    </xf>
    <xf numFmtId="0" fontId="60" fillId="6" borderId="1" xfId="0" applyFont="1" applyFill="1" applyBorder="1" applyAlignment="1">
      <alignment horizontal="center" vertical="center"/>
    </xf>
    <xf numFmtId="176" fontId="12" fillId="3" borderId="0" xfId="0" applyNumberFormat="1" applyFont="1" applyFill="1" applyAlignment="1">
      <alignment horizontal="right" vertical="center"/>
    </xf>
    <xf numFmtId="176" fontId="23" fillId="3" borderId="0" xfId="0" applyNumberFormat="1" applyFont="1" applyFill="1" applyAlignment="1">
      <alignment horizontal="right" vertical="center"/>
    </xf>
    <xf numFmtId="176" fontId="6" fillId="11" borderId="1" xfId="0" applyNumberFormat="1" applyFont="1" applyFill="1" applyBorder="1" applyAlignment="1">
      <alignment horizontal="right" vertical="center"/>
    </xf>
    <xf numFmtId="0" fontId="50" fillId="11" borderId="1" xfId="0" applyFont="1" applyFill="1" applyBorder="1" applyAlignment="1">
      <alignment horizontal="center" vertical="center"/>
    </xf>
    <xf numFmtId="0" fontId="40" fillId="11" borderId="1" xfId="0" applyFont="1" applyFill="1" applyBorder="1" applyAlignment="1">
      <alignment horizontal="center" vertical="center"/>
    </xf>
    <xf numFmtId="0" fontId="62" fillId="11" borderId="1" xfId="0" applyFont="1" applyFill="1" applyBorder="1" applyAlignment="1">
      <alignment horizontal="center" vertical="center"/>
    </xf>
    <xf numFmtId="0" fontId="32" fillId="11" borderId="1" xfId="0" applyFont="1" applyFill="1" applyBorder="1" applyAlignment="1">
      <alignment horizontal="center" vertical="center"/>
    </xf>
    <xf numFmtId="176" fontId="6" fillId="6" borderId="1" xfId="0" applyNumberFormat="1" applyFont="1" applyFill="1" applyBorder="1" applyAlignment="1">
      <alignment horizontal="right" vertical="center"/>
    </xf>
    <xf numFmtId="0" fontId="50" fillId="6" borderId="1" xfId="0" applyFont="1" applyFill="1" applyBorder="1" applyAlignment="1">
      <alignment horizontal="center" vertical="center"/>
    </xf>
    <xf numFmtId="0" fontId="40" fillId="6" borderId="1" xfId="0" applyFont="1" applyFill="1" applyBorder="1" applyAlignment="1">
      <alignment horizontal="center" vertical="center"/>
    </xf>
    <xf numFmtId="0" fontId="62" fillId="6" borderId="1" xfId="0" applyFont="1" applyFill="1" applyBorder="1" applyAlignment="1">
      <alignment horizontal="center" vertical="center"/>
    </xf>
    <xf numFmtId="0" fontId="32" fillId="6" borderId="1" xfId="0" applyFont="1" applyFill="1" applyBorder="1" applyAlignment="1">
      <alignment horizontal="center" vertical="center"/>
    </xf>
    <xf numFmtId="0" fontId="65" fillId="11" borderId="0" xfId="0" applyFont="1" applyFill="1" applyAlignment="1">
      <alignment horizontal="center" vertical="center"/>
    </xf>
    <xf numFmtId="176" fontId="66" fillId="11" borderId="0" xfId="0" applyNumberFormat="1" applyFont="1" applyFill="1" applyAlignment="1">
      <alignment horizontal="right" vertical="center"/>
    </xf>
    <xf numFmtId="9" fontId="68" fillId="11" borderId="0" xfId="0" applyNumberFormat="1" applyFont="1" applyFill="1" applyAlignment="1">
      <alignment horizontal="right" vertical="center"/>
    </xf>
    <xf numFmtId="0" fontId="2" fillId="7" borderId="0" xfId="0" applyFont="1" applyFill="1" applyAlignment="1">
      <alignment horizontal="left" vertical="center"/>
    </xf>
    <xf numFmtId="176" fontId="14" fillId="6" borderId="1" xfId="0" applyNumberFormat="1" applyFont="1" applyFill="1" applyBorder="1" applyAlignment="1">
      <alignment horizontal="right" vertical="center"/>
    </xf>
    <xf numFmtId="176" fontId="10" fillId="11" borderId="1" xfId="0" applyNumberFormat="1" applyFont="1" applyFill="1" applyBorder="1" applyAlignment="1">
      <alignment horizontal="right" vertical="center"/>
    </xf>
    <xf numFmtId="176" fontId="70" fillId="11" borderId="1" xfId="0" applyNumberFormat="1" applyFont="1" applyFill="1" applyBorder="1" applyAlignment="1">
      <alignment horizontal="right" vertical="center"/>
    </xf>
    <xf numFmtId="0" fontId="3" fillId="11" borderId="1" xfId="0" applyFont="1" applyFill="1" applyBorder="1" applyAlignment="1">
      <alignment horizontal="center" vertical="center"/>
    </xf>
    <xf numFmtId="9" fontId="40" fillId="11" borderId="1" xfId="0" applyNumberFormat="1" applyFont="1" applyFill="1" applyBorder="1" applyAlignment="1">
      <alignment horizontal="center" vertical="center"/>
    </xf>
    <xf numFmtId="176" fontId="70" fillId="6" borderId="1" xfId="0" applyNumberFormat="1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center" vertical="center"/>
    </xf>
    <xf numFmtId="9" fontId="40" fillId="6" borderId="1" xfId="0" applyNumberFormat="1" applyFont="1" applyFill="1" applyBorder="1" applyAlignment="1">
      <alignment horizontal="center" vertical="center"/>
    </xf>
    <xf numFmtId="176" fontId="71" fillId="3" borderId="1" xfId="0" applyNumberFormat="1" applyFont="1" applyFill="1" applyBorder="1" applyAlignment="1">
      <alignment horizontal="right" vertical="center"/>
    </xf>
    <xf numFmtId="9" fontId="40" fillId="3" borderId="1" xfId="0" applyNumberFormat="1" applyFont="1" applyFill="1" applyBorder="1" applyAlignment="1">
      <alignment horizontal="center" vertical="center"/>
    </xf>
    <xf numFmtId="176" fontId="72" fillId="6" borderId="1" xfId="0" applyNumberFormat="1" applyFont="1" applyFill="1" applyBorder="1" applyAlignment="1">
      <alignment horizontal="right" vertical="center"/>
    </xf>
    <xf numFmtId="176" fontId="15" fillId="6" borderId="1" xfId="0" applyNumberFormat="1" applyFont="1" applyFill="1" applyBorder="1" applyAlignment="1">
      <alignment horizontal="right" vertical="center"/>
    </xf>
    <xf numFmtId="176" fontId="15" fillId="11" borderId="1" xfId="0" applyNumberFormat="1" applyFont="1" applyFill="1" applyBorder="1" applyAlignment="1">
      <alignment horizontal="right" vertical="center"/>
    </xf>
    <xf numFmtId="176" fontId="21" fillId="11" borderId="1" xfId="0" applyNumberFormat="1" applyFont="1" applyFill="1" applyBorder="1" applyAlignment="1">
      <alignment horizontal="right" vertical="center"/>
    </xf>
    <xf numFmtId="176" fontId="12" fillId="11" borderId="1" xfId="0" applyNumberFormat="1" applyFont="1" applyFill="1" applyBorder="1" applyAlignment="1">
      <alignment horizontal="right" vertical="center"/>
    </xf>
    <xf numFmtId="176" fontId="23" fillId="6" borderId="1" xfId="0" applyNumberFormat="1" applyFont="1" applyFill="1" applyBorder="1" applyAlignment="1">
      <alignment horizontal="right" vertical="center"/>
    </xf>
    <xf numFmtId="176" fontId="13" fillId="11" borderId="1" xfId="0" applyNumberFormat="1" applyFont="1" applyFill="1" applyBorder="1" applyAlignment="1">
      <alignment horizontal="right" vertical="center"/>
    </xf>
    <xf numFmtId="176" fontId="75" fillId="11" borderId="1" xfId="0" applyNumberFormat="1" applyFont="1" applyFill="1" applyBorder="1" applyAlignment="1">
      <alignment horizontal="right" vertical="center"/>
    </xf>
    <xf numFmtId="176" fontId="76" fillId="6" borderId="1" xfId="0" applyNumberFormat="1" applyFont="1" applyFill="1" applyBorder="1" applyAlignment="1">
      <alignment horizontal="right" vertical="center"/>
    </xf>
    <xf numFmtId="176" fontId="75" fillId="6" borderId="1" xfId="0" applyNumberFormat="1" applyFont="1" applyFill="1" applyBorder="1" applyAlignment="1">
      <alignment horizontal="right" vertical="center"/>
    </xf>
    <xf numFmtId="176" fontId="77" fillId="3" borderId="1" xfId="0" applyNumberFormat="1" applyFont="1" applyFill="1" applyBorder="1" applyAlignment="1">
      <alignment horizontal="right" vertical="center"/>
    </xf>
    <xf numFmtId="0" fontId="36" fillId="11" borderId="1" xfId="0" applyFont="1" applyFill="1" applyBorder="1" applyAlignment="1">
      <alignment horizontal="left" vertical="center"/>
    </xf>
    <xf numFmtId="176" fontId="33" fillId="11" borderId="1" xfId="0" applyNumberFormat="1" applyFont="1" applyFill="1" applyBorder="1" applyAlignment="1">
      <alignment horizontal="right" vertical="center"/>
    </xf>
    <xf numFmtId="176" fontId="8" fillId="11" borderId="1" xfId="0" applyNumberFormat="1" applyFont="1" applyFill="1" applyBorder="1" applyAlignment="1">
      <alignment horizontal="right" vertical="center"/>
    </xf>
    <xf numFmtId="176" fontId="18" fillId="11" borderId="1" xfId="0" applyNumberFormat="1" applyFont="1" applyFill="1" applyBorder="1" applyAlignment="1">
      <alignment horizontal="right" vertical="center"/>
    </xf>
    <xf numFmtId="177" fontId="11" fillId="11" borderId="1" xfId="0" applyNumberFormat="1" applyFont="1" applyFill="1" applyBorder="1" applyAlignment="1">
      <alignment horizontal="center" vertical="center"/>
    </xf>
    <xf numFmtId="176" fontId="28" fillId="11" borderId="1" xfId="0" applyNumberFormat="1" applyFont="1" applyFill="1" applyBorder="1" applyAlignment="1">
      <alignment horizontal="right" vertical="center"/>
    </xf>
    <xf numFmtId="0" fontId="36" fillId="6" borderId="1" xfId="0" applyFont="1" applyFill="1" applyBorder="1" applyAlignment="1">
      <alignment horizontal="left" vertical="center"/>
    </xf>
    <xf numFmtId="176" fontId="33" fillId="6" borderId="1" xfId="0" applyNumberFormat="1" applyFont="1" applyFill="1" applyBorder="1" applyAlignment="1">
      <alignment horizontal="right" vertical="center"/>
    </xf>
    <xf numFmtId="176" fontId="8" fillId="6" borderId="1" xfId="0" applyNumberFormat="1" applyFont="1" applyFill="1" applyBorder="1" applyAlignment="1">
      <alignment horizontal="right" vertical="center"/>
    </xf>
    <xf numFmtId="176" fontId="18" fillId="6" borderId="1" xfId="0" applyNumberFormat="1" applyFont="1" applyFill="1" applyBorder="1" applyAlignment="1">
      <alignment horizontal="right" vertical="center"/>
    </xf>
    <xf numFmtId="177" fontId="11" fillId="6" borderId="1" xfId="0" applyNumberFormat="1" applyFont="1" applyFill="1" applyBorder="1" applyAlignment="1">
      <alignment horizontal="center" vertical="center"/>
    </xf>
    <xf numFmtId="176" fontId="28" fillId="6" borderId="1" xfId="0" applyNumberFormat="1" applyFont="1" applyFill="1" applyBorder="1" applyAlignment="1">
      <alignment horizontal="right" vertical="center"/>
    </xf>
    <xf numFmtId="176" fontId="34" fillId="11" borderId="0" xfId="0" applyNumberFormat="1" applyFont="1" applyFill="1" applyAlignment="1">
      <alignment horizontal="right" vertical="center"/>
    </xf>
    <xf numFmtId="176" fontId="12" fillId="11" borderId="0" xfId="0" applyNumberFormat="1" applyFont="1" applyFill="1" applyAlignment="1">
      <alignment horizontal="right" vertical="center"/>
    </xf>
    <xf numFmtId="176" fontId="19" fillId="11" borderId="0" xfId="0" applyNumberFormat="1" applyFont="1" applyFill="1" applyAlignment="1">
      <alignment horizontal="right" vertical="center"/>
    </xf>
    <xf numFmtId="1" fontId="61" fillId="3" borderId="0" xfId="0" applyNumberFormat="1" applyFont="1" applyFill="1" applyAlignment="1">
      <alignment horizontal="right" vertical="center"/>
    </xf>
    <xf numFmtId="0" fontId="3" fillId="3" borderId="1" xfId="0" applyFont="1" applyFill="1" applyBorder="1" applyAlignment="1">
      <alignment horizontal="left" vertical="center"/>
    </xf>
    <xf numFmtId="176" fontId="11" fillId="11" borderId="1" xfId="0" applyNumberFormat="1" applyFont="1" applyFill="1" applyBorder="1" applyAlignment="1">
      <alignment horizontal="right" vertical="center"/>
    </xf>
    <xf numFmtId="176" fontId="11" fillId="6" borderId="1" xfId="0" applyNumberFormat="1" applyFont="1" applyFill="1" applyBorder="1" applyAlignment="1">
      <alignment horizontal="right" vertical="center"/>
    </xf>
    <xf numFmtId="0" fontId="11" fillId="3" borderId="1" xfId="0" applyFont="1" applyFill="1" applyBorder="1" applyAlignment="1">
      <alignment horizontal="left" vertical="center"/>
    </xf>
    <xf numFmtId="176" fontId="58" fillId="3" borderId="1" xfId="0" applyNumberFormat="1" applyFont="1" applyFill="1" applyBorder="1" applyAlignment="1">
      <alignment horizontal="right" vertical="center"/>
    </xf>
    <xf numFmtId="176" fontId="11" fillId="3" borderId="1" xfId="0" applyNumberFormat="1" applyFont="1" applyFill="1" applyBorder="1" applyAlignment="1">
      <alignment horizontal="right" vertical="center"/>
    </xf>
    <xf numFmtId="176" fontId="22" fillId="11" borderId="1" xfId="0" applyNumberFormat="1" applyFont="1" applyFill="1" applyBorder="1" applyAlignment="1">
      <alignment horizontal="right" vertical="center"/>
    </xf>
    <xf numFmtId="176" fontId="22" fillId="6" borderId="1" xfId="0" applyNumberFormat="1" applyFont="1" applyFill="1" applyBorder="1" applyAlignment="1">
      <alignment horizontal="right" vertical="center"/>
    </xf>
    <xf numFmtId="0" fontId="22" fillId="3" borderId="1" xfId="0" applyFont="1" applyFill="1" applyBorder="1" applyAlignment="1">
      <alignment horizontal="left" vertical="center"/>
    </xf>
    <xf numFmtId="176" fontId="59" fillId="3" borderId="1" xfId="0" applyNumberFormat="1" applyFont="1" applyFill="1" applyBorder="1" applyAlignment="1">
      <alignment horizontal="right" vertical="center"/>
    </xf>
    <xf numFmtId="176" fontId="22" fillId="3" borderId="1" xfId="0" applyNumberFormat="1" applyFont="1" applyFill="1" applyBorder="1" applyAlignment="1">
      <alignment horizontal="right" vertical="center"/>
    </xf>
    <xf numFmtId="9" fontId="54" fillId="6" borderId="1" xfId="0" applyNumberFormat="1" applyFont="1" applyFill="1" applyBorder="1" applyAlignment="1">
      <alignment horizontal="right" vertical="center"/>
    </xf>
    <xf numFmtId="9" fontId="33" fillId="6" borderId="1" xfId="0" applyNumberFormat="1" applyFont="1" applyFill="1" applyBorder="1" applyAlignment="1">
      <alignment horizontal="right" vertical="center"/>
    </xf>
    <xf numFmtId="0" fontId="50" fillId="11" borderId="0" xfId="0" applyFont="1" applyFill="1" applyAlignment="1">
      <alignment horizontal="left" vertical="center"/>
    </xf>
    <xf numFmtId="176" fontId="19" fillId="6" borderId="1" xfId="0" applyNumberFormat="1" applyFont="1" applyFill="1" applyBorder="1" applyAlignment="1">
      <alignment horizontal="right" vertical="center"/>
    </xf>
    <xf numFmtId="0" fontId="2" fillId="11" borderId="0" xfId="0" applyFont="1" applyFill="1" applyAlignment="1">
      <alignment horizontal="left" vertical="center"/>
    </xf>
    <xf numFmtId="176" fontId="12" fillId="6" borderId="1" xfId="0" applyNumberFormat="1" applyFont="1" applyFill="1" applyBorder="1" applyAlignment="1">
      <alignment horizontal="right" vertical="center"/>
    </xf>
    <xf numFmtId="177" fontId="13" fillId="6" borderId="1" xfId="0" applyNumberFormat="1" applyFont="1" applyFill="1" applyBorder="1" applyAlignment="1">
      <alignment horizontal="right" vertical="center"/>
    </xf>
    <xf numFmtId="176" fontId="34" fillId="6" borderId="1" xfId="0" applyNumberFormat="1" applyFont="1" applyFill="1" applyBorder="1" applyAlignment="1">
      <alignment horizontal="right" vertical="center"/>
    </xf>
    <xf numFmtId="0" fontId="6" fillId="11" borderId="0" xfId="0" applyFont="1" applyFill="1" applyAlignment="1">
      <alignment horizontal="left" vertical="center"/>
    </xf>
    <xf numFmtId="176" fontId="8" fillId="11" borderId="1" xfId="0" applyNumberFormat="1" applyFont="1" applyFill="1" applyBorder="1" applyAlignment="1">
      <alignment horizontal="right"/>
    </xf>
    <xf numFmtId="176" fontId="81" fillId="11" borderId="1" xfId="0" applyNumberFormat="1" applyFont="1" applyFill="1" applyBorder="1" applyAlignment="1">
      <alignment horizontal="right"/>
    </xf>
    <xf numFmtId="176" fontId="82" fillId="11" borderId="1" xfId="0" applyNumberFormat="1" applyFont="1" applyFill="1" applyBorder="1" applyAlignment="1">
      <alignment horizontal="right"/>
    </xf>
    <xf numFmtId="0" fontId="6" fillId="6" borderId="0" xfId="0" applyFont="1" applyFill="1" applyAlignment="1">
      <alignment horizontal="left" vertical="center"/>
    </xf>
    <xf numFmtId="176" fontId="8" fillId="6" borderId="1" xfId="0" applyNumberFormat="1" applyFont="1" applyFill="1" applyBorder="1" applyAlignment="1">
      <alignment horizontal="right"/>
    </xf>
    <xf numFmtId="176" fontId="81" fillId="6" borderId="1" xfId="0" applyNumberFormat="1" applyFont="1" applyFill="1" applyBorder="1" applyAlignment="1">
      <alignment horizontal="right"/>
    </xf>
    <xf numFmtId="176" fontId="5" fillId="6" borderId="1" xfId="0" applyNumberFormat="1" applyFont="1" applyFill="1" applyBorder="1" applyAlignment="1">
      <alignment horizontal="right"/>
    </xf>
    <xf numFmtId="176" fontId="82" fillId="6" borderId="1" xfId="0" applyNumberFormat="1" applyFont="1" applyFill="1" applyBorder="1" applyAlignment="1">
      <alignment horizontal="right"/>
    </xf>
    <xf numFmtId="0" fontId="83" fillId="6" borderId="1" xfId="0" applyFont="1" applyFill="1" applyBorder="1" applyAlignment="1">
      <alignment horizontal="left" vertical="center"/>
    </xf>
    <xf numFmtId="0" fontId="87" fillId="5" borderId="1" xfId="0" applyFont="1" applyFill="1" applyBorder="1" applyAlignment="1">
      <alignment horizontal="left" vertical="center"/>
    </xf>
    <xf numFmtId="0" fontId="90" fillId="6" borderId="1" xfId="0" applyFont="1" applyFill="1" applyBorder="1" applyAlignment="1">
      <alignment horizontal="left" vertical="center"/>
    </xf>
    <xf numFmtId="0" fontId="78" fillId="3" borderId="0" xfId="0" applyFont="1" applyFill="1" applyAlignment="1">
      <alignment horizontal="left" vertical="center"/>
    </xf>
    <xf numFmtId="0" fontId="24" fillId="3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14" fillId="3" borderId="0" xfId="0" applyFont="1" applyFill="1" applyAlignment="1">
      <alignment horizontal="left" vertical="center"/>
    </xf>
    <xf numFmtId="0" fontId="20" fillId="3" borderId="0" xfId="0" applyFont="1" applyFill="1" applyAlignment="1">
      <alignment horizontal="left" vertical="center"/>
    </xf>
    <xf numFmtId="0" fontId="50" fillId="11" borderId="0" xfId="0" applyFont="1" applyFill="1" applyAlignment="1">
      <alignment horizontal="left" vertical="top" wrapText="1"/>
    </xf>
    <xf numFmtId="176" fontId="49" fillId="7" borderId="0" xfId="0" applyNumberFormat="1" applyFont="1" applyFill="1" applyAlignment="1">
      <alignment horizontal="left" vertical="center"/>
    </xf>
    <xf numFmtId="0" fontId="8" fillId="6" borderId="0" xfId="0" applyFont="1" applyFill="1" applyAlignment="1">
      <alignment horizontal="left" vertical="center"/>
    </xf>
    <xf numFmtId="176" fontId="22" fillId="6" borderId="0" xfId="0" applyNumberFormat="1" applyFont="1" applyFill="1" applyAlignment="1">
      <alignment horizontal="right" vertical="center"/>
    </xf>
    <xf numFmtId="0" fontId="8" fillId="11" borderId="0" xfId="0" applyFont="1" applyFill="1" applyAlignment="1">
      <alignment horizontal="left" vertical="center"/>
    </xf>
    <xf numFmtId="176" fontId="22" fillId="11" borderId="0" xfId="0" applyNumberFormat="1" applyFont="1" applyFill="1" applyAlignment="1">
      <alignment horizontal="right" vertical="center"/>
    </xf>
    <xf numFmtId="0" fontId="49" fillId="7" borderId="0" xfId="0" applyFont="1" applyFill="1" applyAlignment="1">
      <alignment horizontal="left" vertical="center"/>
    </xf>
    <xf numFmtId="0" fontId="48" fillId="11" borderId="0" xfId="0" applyFont="1" applyFill="1" applyAlignment="1">
      <alignment horizontal="left" vertical="center"/>
    </xf>
    <xf numFmtId="0" fontId="40" fillId="11" borderId="0" xfId="0" applyFont="1" applyFill="1" applyAlignment="1">
      <alignment horizontal="left" vertical="center"/>
    </xf>
    <xf numFmtId="0" fontId="47" fillId="13" borderId="0" xfId="0" applyFont="1" applyFill="1" applyAlignment="1">
      <alignment horizontal="center" vertical="center"/>
    </xf>
    <xf numFmtId="0" fontId="36" fillId="11" borderId="0" xfId="0" applyFont="1" applyFill="1" applyAlignment="1">
      <alignment horizontal="left" vertical="center"/>
    </xf>
    <xf numFmtId="179" fontId="44" fillId="11" borderId="0" xfId="0" applyNumberFormat="1" applyFont="1" applyFill="1" applyAlignment="1">
      <alignment horizontal="left" vertical="center"/>
    </xf>
    <xf numFmtId="179" fontId="45" fillId="11" borderId="0" xfId="0" applyNumberFormat="1" applyFont="1" applyFill="1" applyAlignment="1">
      <alignment horizontal="left" vertical="center"/>
    </xf>
    <xf numFmtId="177" fontId="46" fillId="11" borderId="0" xfId="0" applyNumberFormat="1" applyFont="1" applyFill="1" applyAlignment="1">
      <alignment horizontal="left" vertical="center"/>
    </xf>
    <xf numFmtId="179" fontId="41" fillId="11" borderId="0" xfId="0" applyNumberFormat="1" applyFont="1" applyFill="1" applyAlignment="1">
      <alignment horizontal="left" vertical="center"/>
    </xf>
    <xf numFmtId="179" fontId="42" fillId="11" borderId="0" xfId="0" applyNumberFormat="1" applyFont="1" applyFill="1" applyAlignment="1">
      <alignment horizontal="left" vertical="center"/>
    </xf>
    <xf numFmtId="179" fontId="43" fillId="11" borderId="0" xfId="0" applyNumberFormat="1" applyFont="1" applyFill="1" applyAlignment="1">
      <alignment horizontal="left" vertical="center"/>
    </xf>
    <xf numFmtId="0" fontId="38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right" vertical="center"/>
    </xf>
    <xf numFmtId="0" fontId="39" fillId="3" borderId="0" xfId="0" applyFont="1" applyFill="1" applyAlignment="1">
      <alignment horizontal="right" vertical="center"/>
    </xf>
    <xf numFmtId="0" fontId="56" fillId="3" borderId="0" xfId="0" applyFont="1" applyFill="1" applyAlignment="1">
      <alignment horizontal="left" vertical="center"/>
    </xf>
    <xf numFmtId="0" fontId="18" fillId="3" borderId="0" xfId="0" applyFont="1" applyFill="1" applyAlignment="1">
      <alignment horizontal="left" vertical="center"/>
    </xf>
    <xf numFmtId="0" fontId="58" fillId="3" borderId="0" xfId="0" applyFont="1" applyFill="1" applyAlignment="1">
      <alignment horizontal="right" vertical="center"/>
    </xf>
    <xf numFmtId="0" fontId="59" fillId="3" borderId="0" xfId="0" applyFont="1" applyFill="1" applyAlignment="1">
      <alignment horizontal="right" vertical="center"/>
    </xf>
    <xf numFmtId="0" fontId="61" fillId="3" borderId="0" xfId="0" applyFont="1" applyFill="1" applyAlignment="1">
      <alignment horizontal="left" vertical="center"/>
    </xf>
    <xf numFmtId="176" fontId="64" fillId="11" borderId="0" xfId="0" applyNumberFormat="1" applyFont="1" applyFill="1" applyAlignment="1">
      <alignment horizontal="right" vertical="center"/>
    </xf>
    <xf numFmtId="176" fontId="65" fillId="11" borderId="0" xfId="0" applyNumberFormat="1" applyFont="1" applyFill="1" applyAlignment="1">
      <alignment horizontal="right" vertical="center"/>
    </xf>
    <xf numFmtId="176" fontId="67" fillId="11" borderId="0" xfId="0" applyNumberFormat="1" applyFont="1" applyFill="1" applyAlignment="1">
      <alignment horizontal="right" vertical="center"/>
    </xf>
    <xf numFmtId="0" fontId="8" fillId="6" borderId="2" xfId="0" applyFont="1" applyFill="1" applyBorder="1" applyAlignment="1">
      <alignment horizontal="left" vertical="center"/>
    </xf>
    <xf numFmtId="0" fontId="35" fillId="3" borderId="2" xfId="0" applyFont="1" applyFill="1" applyBorder="1" applyAlignment="1">
      <alignment horizontal="left" vertical="center"/>
    </xf>
    <xf numFmtId="0" fontId="48" fillId="11" borderId="0" xfId="0" applyFont="1" applyFill="1" applyAlignment="1">
      <alignment horizontal="center" vertical="center"/>
    </xf>
    <xf numFmtId="0" fontId="8" fillId="11" borderId="2" xfId="0" applyFont="1" applyFill="1" applyBorder="1" applyAlignment="1">
      <alignment horizontal="left" vertical="center"/>
    </xf>
    <xf numFmtId="0" fontId="20" fillId="6" borderId="2" xfId="0" applyFont="1" applyFill="1" applyBorder="1" applyAlignment="1">
      <alignment horizontal="left" vertical="center"/>
    </xf>
    <xf numFmtId="0" fontId="17" fillId="11" borderId="2" xfId="0" applyFont="1" applyFill="1" applyBorder="1" applyAlignment="1">
      <alignment horizontal="left" vertical="center"/>
    </xf>
    <xf numFmtId="0" fontId="74" fillId="3" borderId="0" xfId="0" applyFont="1" applyFill="1" applyAlignment="1">
      <alignment horizontal="center" vertical="center"/>
    </xf>
    <xf numFmtId="0" fontId="49" fillId="11" borderId="2" xfId="0" applyFont="1" applyFill="1" applyBorder="1" applyAlignment="1">
      <alignment horizontal="left" vertical="center"/>
    </xf>
    <xf numFmtId="0" fontId="49" fillId="6" borderId="2" xfId="0" applyFont="1" applyFill="1" applyBorder="1" applyAlignment="1">
      <alignment horizontal="left" vertical="center"/>
    </xf>
    <xf numFmtId="0" fontId="22" fillId="3" borderId="2" xfId="0" applyFont="1" applyFill="1" applyBorder="1" applyAlignment="1">
      <alignment horizontal="left" vertical="center"/>
    </xf>
    <xf numFmtId="0" fontId="73" fillId="3" borderId="0" xfId="0" applyFont="1" applyFill="1" applyAlignment="1">
      <alignment horizontal="center" vertical="center"/>
    </xf>
    <xf numFmtId="0" fontId="5" fillId="11" borderId="2" xfId="0" applyFont="1" applyFill="1" applyBorder="1" applyAlignment="1">
      <alignment horizontal="left" vertical="center"/>
    </xf>
    <xf numFmtId="0" fontId="18" fillId="3" borderId="2" xfId="0" applyFont="1" applyFill="1" applyBorder="1" applyAlignment="1">
      <alignment horizontal="left" vertical="center"/>
    </xf>
    <xf numFmtId="0" fontId="59" fillId="3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left" vertical="center" wrapText="1"/>
    </xf>
    <xf numFmtId="0" fontId="6" fillId="11" borderId="2" xfId="0" applyFont="1" applyFill="1" applyBorder="1" applyAlignment="1">
      <alignment horizontal="left" vertical="center"/>
    </xf>
    <xf numFmtId="0" fontId="6" fillId="6" borderId="2" xfId="0" applyFont="1" applyFill="1" applyBorder="1" applyAlignment="1">
      <alignment horizontal="left" vertical="center"/>
    </xf>
    <xf numFmtId="0" fontId="11" fillId="3" borderId="2" xfId="0" applyFont="1" applyFill="1" applyBorder="1" applyAlignment="1">
      <alignment horizontal="left" vertical="center"/>
    </xf>
    <xf numFmtId="0" fontId="62" fillId="3" borderId="0" xfId="0" applyFont="1" applyFill="1" applyAlignment="1">
      <alignment horizontal="center" vertical="center"/>
    </xf>
    <xf numFmtId="0" fontId="69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0" fontId="58" fillId="3" borderId="0" xfId="0" applyFont="1" applyFill="1" applyAlignment="1">
      <alignment horizontal="center" vertical="center"/>
    </xf>
    <xf numFmtId="0" fontId="79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80" fillId="3" borderId="0" xfId="0" applyFont="1" applyFill="1" applyAlignment="1">
      <alignment horizontal="left" vertical="center"/>
    </xf>
    <xf numFmtId="0" fontId="49" fillId="3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 wrapText="1"/>
    </xf>
    <xf numFmtId="0" fontId="83" fillId="11" borderId="1" xfId="0" applyFont="1" applyFill="1" applyBorder="1" applyAlignment="1">
      <alignment horizontal="left" vertical="center"/>
    </xf>
    <xf numFmtId="49" fontId="91" fillId="3" borderId="0" xfId="0" applyNumberFormat="1" applyFont="1" applyFill="1" applyAlignment="1">
      <alignment horizontal="center" vertical="center"/>
    </xf>
  </cellXfs>
  <cellStyles count="1">
    <cellStyle name="標準" xfId="0" builtinId="0"/>
  </cellStyles>
  <dxfs count="14">
    <dxf>
      <font>
        <b/>
        <color rgb="FF3FB950"/>
        <name val="Calibri"/>
        <charset val="1"/>
      </font>
    </dxf>
    <dxf>
      <font>
        <b/>
        <color rgb="FFF85149"/>
        <name val="Calibri"/>
        <charset val="1"/>
      </font>
    </dxf>
    <dxf>
      <font>
        <b/>
        <color rgb="FF3FB950"/>
        <name val="Calibri"/>
        <charset val="1"/>
      </font>
    </dxf>
    <dxf>
      <font>
        <b/>
        <color rgb="FFE3B341"/>
        <name val="Calibri"/>
        <charset val="1"/>
      </font>
      <fill>
        <patternFill>
          <bgColor rgb="FF2D2600"/>
        </patternFill>
      </fill>
    </dxf>
    <dxf>
      <font>
        <b/>
        <color rgb="FFF85149"/>
        <name val="Calibri"/>
        <charset val="1"/>
      </font>
      <fill>
        <patternFill>
          <bgColor rgb="FF2D1B1B"/>
        </patternFill>
      </fill>
    </dxf>
    <dxf>
      <font>
        <b/>
        <color rgb="FFE3B341"/>
        <name val="Calibri"/>
        <charset val="1"/>
      </font>
      <fill>
        <patternFill>
          <bgColor rgb="FF2D2510"/>
        </patternFill>
      </fill>
    </dxf>
    <dxf>
      <font>
        <b/>
        <color rgb="FFF85149"/>
        <name val="Calibri"/>
        <charset val="1"/>
      </font>
      <fill>
        <patternFill>
          <bgColor rgb="FF2D1B1B"/>
        </patternFill>
      </fill>
    </dxf>
    <dxf>
      <font>
        <b/>
        <color rgb="FFF85149"/>
        <name val="Calibri"/>
        <charset val="1"/>
      </font>
    </dxf>
    <dxf>
      <font>
        <b/>
        <color rgb="FFE3B341"/>
        <name val="Calibri"/>
        <charset val="1"/>
      </font>
    </dxf>
    <dxf>
      <font>
        <b/>
        <color rgb="FF3FB950"/>
        <name val="Calibri"/>
        <charset val="1"/>
      </font>
    </dxf>
    <dxf>
      <font>
        <b/>
        <color rgb="FFF85149"/>
        <name val="Calibri"/>
        <charset val="1"/>
      </font>
    </dxf>
    <dxf>
      <font>
        <b/>
        <color rgb="FF3FB950"/>
        <name val="Calibri"/>
        <charset val="1"/>
      </font>
    </dxf>
    <dxf>
      <font>
        <b/>
        <color rgb="FFF85149"/>
        <name val="Calibri"/>
        <charset val="1"/>
      </font>
    </dxf>
    <dxf>
      <font>
        <b/>
        <color rgb="FF3FB950"/>
        <name val="Calibri"/>
        <charset val="1"/>
      </font>
    </dxf>
  </dxfs>
  <tableStyles count="0" defaultTableStyle="TableStyleMedium2" defaultPivotStyle="PivotStyleLight16"/>
  <colors>
    <indexedColors>
      <rgbColor rgb="FF000000"/>
      <rgbColor rgb="FFF9F9F9"/>
      <rgbColor rgb="FFFF0000"/>
      <rgbColor rgb="FF00FF00"/>
      <rgbColor rgb="FF0000FF"/>
      <rgbColor rgb="FFFFFF00"/>
      <rgbColor rgb="FFFF00FF"/>
      <rgbColor rgb="FF00FFFF"/>
      <rgbColor rgb="FF2D2510"/>
      <rgbColor rgb="FF008000"/>
      <rgbColor rgb="FF0D1117"/>
      <rgbColor rgb="FF8AA64F"/>
      <rgbColor rgb="FF800080"/>
      <rgbColor rgb="FF4F81BD"/>
      <rgbColor rgb="FFB3B3B3"/>
      <rgbColor rgb="FF878787"/>
      <rgbColor rgb="FF93A9CE"/>
      <rgbColor rgb="FFAB4744"/>
      <rgbColor rgb="FFFFFFCC"/>
      <rgbColor rgb="FFE6EDF3"/>
      <rgbColor rgb="FF2D1B1B"/>
      <rgbColor rgb="FFDC853E"/>
      <rgbColor rgb="FF4672A8"/>
      <rgbColor rgb="FFC9D1D9"/>
      <rgbColor rgb="FF161B22"/>
      <rgbColor rgb="FFFF00FF"/>
      <rgbColor rgb="FFFFFF00"/>
      <rgbColor rgb="FF00FFFF"/>
      <rgbColor rgb="FF800080"/>
      <rgbColor rgb="FF1C2128"/>
      <rgbColor rgb="FF008080"/>
      <rgbColor rgb="FF0000FF"/>
      <rgbColor rgb="FF00CCFF"/>
      <rgbColor rgb="FFCCFFFF"/>
      <rgbColor rgb="FFD9D9D9"/>
      <rgbColor rgb="FFFFFF99"/>
      <rgbColor rgb="FF99CCFF"/>
      <rgbColor rgb="FFD09493"/>
      <rgbColor rgb="FFCC99FF"/>
      <rgbColor rgb="FFFFCC99"/>
      <rgbColor rgb="FF2F81F7"/>
      <rgbColor rgb="FF39C5CF"/>
      <rgbColor rgb="FF3FB950"/>
      <rgbColor rgb="FFE3B341"/>
      <rgbColor rgb="FFF85149"/>
      <rgbColor rgb="FFFF6B35"/>
      <rgbColor rgb="FF725990"/>
      <rgbColor rgb="FF8B949E"/>
      <rgbColor rgb="FF0D2137"/>
      <rgbColor rgb="FF4299B0"/>
      <rgbColor rgb="FF0D2A2A"/>
      <rgbColor rgb="FF2D2600"/>
      <rgbColor rgb="FF993300"/>
      <rgbColor rgb="FF8B5CF6"/>
      <rgbColor rgb="FF21262D"/>
      <rgbColor rgb="FF3036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Entradas</c:v>
          </c:tx>
          <c:spPr>
            <a:solidFill>
              <a:srgbClr val="3FB95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ja-JP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Dashboard'!$B$73:$M$73</c:f>
              <c:strCache>
                <c:ptCount val="12"/>
                <c:pt idx="0">
                  <c:v>CATEGORIA</c:v>
                </c:pt>
                <c:pt idx="1">
                  <c:v>M-5</c:v>
                </c:pt>
                <c:pt idx="2">
                  <c:v>M-4</c:v>
                </c:pt>
                <c:pt idx="3">
                  <c:v>M-3</c:v>
                </c:pt>
                <c:pt idx="4">
                  <c:v>M-2</c:v>
                </c:pt>
                <c:pt idx="5">
                  <c:v>M-1</c:v>
                </c:pt>
                <c:pt idx="6">
                  <c:v>Atual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'📊 Dashboard'!$B$74:$M$74</c:f>
              <c:numCache>
                <c:formatCode>\¥#,##0</c:formatCode>
                <c:ptCount val="12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 formatCode="General">
                  <c:v>298000</c:v>
                </c:pt>
                <c:pt idx="8" formatCode="General">
                  <c:v>305000</c:v>
                </c:pt>
                <c:pt idx="9" formatCode="General">
                  <c:v>290000</c:v>
                </c:pt>
                <c:pt idx="10" formatCode="General">
                  <c:v>295000</c:v>
                </c:pt>
                <c:pt idx="11" formatCode="General">
                  <c:v>310000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84-4CDE-BA4B-4846CC1F1214}"/>
            </c:ext>
          </c:extLst>
        </c:ser>
        <c:ser>
          <c:idx val="1"/>
          <c:order val="1"/>
          <c:tx>
            <c:v>Saídas</c:v>
          </c:tx>
          <c:spPr>
            <a:solidFill>
              <a:srgbClr val="F8514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ja-JP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Dashboard'!$B$73:$M$73</c:f>
              <c:strCache>
                <c:ptCount val="12"/>
                <c:pt idx="0">
                  <c:v>CATEGORIA</c:v>
                </c:pt>
                <c:pt idx="1">
                  <c:v>M-5</c:v>
                </c:pt>
                <c:pt idx="2">
                  <c:v>M-4</c:v>
                </c:pt>
                <c:pt idx="3">
                  <c:v>M-3</c:v>
                </c:pt>
                <c:pt idx="4">
                  <c:v>M-2</c:v>
                </c:pt>
                <c:pt idx="5">
                  <c:v>M-1</c:v>
                </c:pt>
                <c:pt idx="6">
                  <c:v>Atual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'📊 Dashboard'!$B$75:$M$75</c:f>
              <c:numCache>
                <c:formatCode>\¥#,##0</c:formatCode>
                <c:ptCount val="12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 formatCode="General">
                  <c:v>255000</c:v>
                </c:pt>
                <c:pt idx="8" formatCode="General">
                  <c:v>270000</c:v>
                </c:pt>
                <c:pt idx="9" formatCode="General">
                  <c:v>240000</c:v>
                </c:pt>
                <c:pt idx="10" formatCode="General">
                  <c:v>250000</c:v>
                </c:pt>
                <c:pt idx="11" formatCode="General">
                  <c:v>280000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84-4CDE-BA4B-4846CC1F1214}"/>
            </c:ext>
          </c:extLst>
        </c:ser>
        <c:ser>
          <c:idx val="2"/>
          <c:order val="2"/>
          <c:tx>
            <c:v>Economia</c:v>
          </c:tx>
          <c:spPr>
            <a:solidFill>
              <a:srgbClr val="8B5CF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ja-JP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Dashboard'!$B$73:$M$73</c:f>
              <c:strCache>
                <c:ptCount val="12"/>
                <c:pt idx="0">
                  <c:v>CATEGORIA</c:v>
                </c:pt>
                <c:pt idx="1">
                  <c:v>M-5</c:v>
                </c:pt>
                <c:pt idx="2">
                  <c:v>M-4</c:v>
                </c:pt>
                <c:pt idx="3">
                  <c:v>M-3</c:v>
                </c:pt>
                <c:pt idx="4">
                  <c:v>M-2</c:v>
                </c:pt>
                <c:pt idx="5">
                  <c:v>M-1</c:v>
                </c:pt>
                <c:pt idx="6">
                  <c:v>Atual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'📊 Dashboard'!$B$76:$M$76</c:f>
              <c:numCache>
                <c:formatCode>\¥#,##0</c:formatCode>
                <c:ptCount val="12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 formatCode="General">
                  <c:v>43000</c:v>
                </c:pt>
                <c:pt idx="8" formatCode="General">
                  <c:v>35000</c:v>
                </c:pt>
                <c:pt idx="9" formatCode="General">
                  <c:v>50000</c:v>
                </c:pt>
                <c:pt idx="10" formatCode="General">
                  <c:v>45000</c:v>
                </c:pt>
                <c:pt idx="11" formatCode="General">
                  <c:v>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84-4CDE-BA4B-4846CC1F1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025191"/>
        <c:axId val="64388421"/>
      </c:barChart>
      <c:catAx>
        <c:axId val="1402519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64388421"/>
        <c:crosses val="autoZero"/>
        <c:auto val="1"/>
        <c:lblAlgn val="ctr"/>
        <c:lblOffset val="100"/>
        <c:noMultiLvlLbl val="0"/>
      </c:catAx>
      <c:valAx>
        <c:axId val="643884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1402519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ja-JP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'📊 Dashboard'!$B$77</c:f>
              <c:strCache>
                <c:ptCount val="1"/>
                <c:pt idx="0">
                  <c:v>Remessa Brasil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4672A8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723D-47E0-9139-63F15A698A14}"/>
              </c:ext>
            </c:extLst>
          </c:dPt>
          <c:dPt>
            <c:idx val="1"/>
            <c:bubble3D val="0"/>
            <c:spPr>
              <a:solidFill>
                <a:srgbClr val="AB4744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723D-47E0-9139-63F15A698A14}"/>
              </c:ext>
            </c:extLst>
          </c:dPt>
          <c:dPt>
            <c:idx val="2"/>
            <c:bubble3D val="0"/>
            <c:spPr>
              <a:solidFill>
                <a:srgbClr val="8AA64F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723D-47E0-9139-63F15A698A14}"/>
              </c:ext>
            </c:extLst>
          </c:dPt>
          <c:dPt>
            <c:idx val="3"/>
            <c:bubble3D val="0"/>
            <c:spPr>
              <a:solidFill>
                <a:srgbClr val="72599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723D-47E0-9139-63F15A698A14}"/>
              </c:ext>
            </c:extLst>
          </c:dPt>
          <c:dPt>
            <c:idx val="4"/>
            <c:bubble3D val="0"/>
            <c:spPr>
              <a:solidFill>
                <a:srgbClr val="4299B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723D-47E0-9139-63F15A698A14}"/>
              </c:ext>
            </c:extLst>
          </c:dPt>
          <c:dPt>
            <c:idx val="5"/>
            <c:bubble3D val="0"/>
            <c:spPr>
              <a:solidFill>
                <a:srgbClr val="DC853E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B-723D-47E0-9139-63F15A698A14}"/>
              </c:ext>
            </c:extLst>
          </c:dPt>
          <c:dPt>
            <c:idx val="6"/>
            <c:bubble3D val="0"/>
            <c:spPr>
              <a:solidFill>
                <a:srgbClr val="93A9CE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D-723D-47E0-9139-63F15A698A14}"/>
              </c:ext>
            </c:extLst>
          </c:dPt>
          <c:dPt>
            <c:idx val="7"/>
            <c:bubble3D val="0"/>
            <c:spPr>
              <a:solidFill>
                <a:srgbClr val="D09493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F-723D-47E0-9139-63F15A698A14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ja-JP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23D-47E0-9139-63F15A698A14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ja-JP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23D-47E0-9139-63F15A698A14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ja-JP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23D-47E0-9139-63F15A698A14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ja-JP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23D-47E0-9139-63F15A698A14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ja-JP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23D-47E0-9139-63F15A698A14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ja-JP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23D-47E0-9139-63F15A698A14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ja-JP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23D-47E0-9139-63F15A698A14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ja-JP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723D-47E0-9139-63F15A698A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ja-JP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'📊 Dashboard'!$A$78:$A$85</c:f>
              <c:strCache>
                <c:ptCount val="8"/>
                <c:pt idx="0">
                  <c:v>Aluguel</c:v>
                </c:pt>
                <c:pt idx="1">
                  <c:v>Mercado</c:v>
                </c:pt>
                <c:pt idx="2">
                  <c:v>Carro</c:v>
                </c:pt>
                <c:pt idx="3">
                  <c:v>Restaurante</c:v>
                </c:pt>
                <c:pt idx="4">
                  <c:v>Internet/Cel</c:v>
                </c:pt>
                <c:pt idx="5">
                  <c:v>Lazer</c:v>
                </c:pt>
                <c:pt idx="6">
                  <c:v>Saúde</c:v>
                </c:pt>
                <c:pt idx="7">
                  <c:v>Outros</c:v>
                </c:pt>
              </c:strCache>
            </c:strRef>
          </c:cat>
          <c:val>
            <c:numRef>
              <c:f>'📊 Dashboard'!$B$78:$B$85</c:f>
              <c:numCache>
                <c:formatCode>General</c:formatCode>
                <c:ptCount val="8"/>
                <c:pt idx="0">
                  <c:v>0</c:v>
                </c:pt>
                <c:pt idx="1">
                  <c:v>45000</c:v>
                </c:pt>
                <c:pt idx="2">
                  <c:v>30000</c:v>
                </c:pt>
                <c:pt idx="3">
                  <c:v>25000</c:v>
                </c:pt>
                <c:pt idx="4">
                  <c:v>15000</c:v>
                </c:pt>
                <c:pt idx="5">
                  <c:v>20000</c:v>
                </c:pt>
                <c:pt idx="6">
                  <c:v>12000</c:v>
                </c:pt>
                <c:pt idx="7">
                  <c:v>18000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723D-47E0-9139-63F15A698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ja-JP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Entradas</c:v>
          </c:tx>
          <c:spPr>
            <a:ln w="24840">
              <a:solidFill>
                <a:srgbClr val="3FB95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'📆 Resumo Anual'!$C$5:$N$5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'📆 Resumo Anual'!$C$10:$N$10</c:f>
              <c:numCache>
                <c:formatCode>\¥#,##0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429000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1D4-4930-BCC6-FC6142A3F6DF}"/>
            </c:ext>
          </c:extLst>
        </c:ser>
        <c:ser>
          <c:idx val="1"/>
          <c:order val="1"/>
          <c:tx>
            <c:v>Saídas</c:v>
          </c:tx>
          <c:spPr>
            <a:ln w="24840">
              <a:solidFill>
                <a:srgbClr val="F8514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'📆 Resumo Anual'!$C$5:$N$5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'📆 Resumo Anual'!$C$17:$N$17</c:f>
              <c:numCache>
                <c:formatCode>\¥#,##0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111572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1D4-4930-BCC6-FC6142A3F6DF}"/>
            </c:ext>
          </c:extLst>
        </c:ser>
        <c:ser>
          <c:idx val="2"/>
          <c:order val="2"/>
          <c:tx>
            <c:v>Economia</c:v>
          </c:tx>
          <c:spPr>
            <a:ln w="24840">
              <a:solidFill>
                <a:srgbClr val="8B5CF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'📆 Resumo Anual'!$C$5:$N$5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'📆 Resumo Anual'!$C$19:$N$19</c:f>
              <c:numCache>
                <c:formatCode>\¥#,##0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317428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1D4-4930-BCC6-FC6142A3F6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3261206"/>
        <c:axId val="33539666"/>
      </c:lineChart>
      <c:catAx>
        <c:axId val="1326120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33539666"/>
        <c:crosses val="autoZero"/>
        <c:auto val="1"/>
        <c:lblAlgn val="ctr"/>
        <c:lblOffset val="100"/>
        <c:noMultiLvlLbl val="0"/>
      </c:catAx>
      <c:valAx>
        <c:axId val="3353966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\¥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1326120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ja-JP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Poupado</c:v>
          </c:tx>
          <c:spPr>
            <a:solidFill>
              <a:srgbClr val="2F81F7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ja-JP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'💡 Simulador'!$B$14:$B$21</c:f>
              <c:strCache>
                <c:ptCount val="8"/>
                <c:pt idx="0">
                  <c:v>3 meses</c:v>
                </c:pt>
                <c:pt idx="1">
                  <c:v>6 meses</c:v>
                </c:pt>
                <c:pt idx="2">
                  <c:v>12 meses</c:v>
                </c:pt>
                <c:pt idx="3">
                  <c:v>18 meses</c:v>
                </c:pt>
                <c:pt idx="4">
                  <c:v>24 meses</c:v>
                </c:pt>
                <c:pt idx="5">
                  <c:v>36 meses</c:v>
                </c:pt>
                <c:pt idx="6">
                  <c:v>48 meses</c:v>
                </c:pt>
                <c:pt idx="7">
                  <c:v>60 meses</c:v>
                </c:pt>
              </c:strCache>
            </c:strRef>
          </c:cat>
          <c:val>
            <c:numRef>
              <c:f>'💡 Simulador'!$C$14:$C$21</c:f>
              <c:numCache>
                <c:formatCode>\¥#,##0</c:formatCode>
                <c:ptCount val="8"/>
                <c:pt idx="0">
                  <c:v>90000</c:v>
                </c:pt>
                <c:pt idx="1">
                  <c:v>180000</c:v>
                </c:pt>
                <c:pt idx="2">
                  <c:v>360000</c:v>
                </c:pt>
                <c:pt idx="3">
                  <c:v>540000</c:v>
                </c:pt>
                <c:pt idx="4">
                  <c:v>720000</c:v>
                </c:pt>
                <c:pt idx="5">
                  <c:v>1080000</c:v>
                </c:pt>
                <c:pt idx="6">
                  <c:v>1440000</c:v>
                </c:pt>
                <c:pt idx="7">
                  <c:v>1800000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DA-45E6-93F9-F1DCC0F52D82}"/>
            </c:ext>
          </c:extLst>
        </c:ser>
        <c:ser>
          <c:idx val="1"/>
          <c:order val="1"/>
          <c:tx>
            <c:v>Total c/ juros</c:v>
          </c:tx>
          <c:spPr>
            <a:solidFill>
              <a:srgbClr val="3FB950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ja-JP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'💡 Simulador'!$B$14:$B$21</c:f>
              <c:strCache>
                <c:ptCount val="8"/>
                <c:pt idx="0">
                  <c:v>3 meses</c:v>
                </c:pt>
                <c:pt idx="1">
                  <c:v>6 meses</c:v>
                </c:pt>
                <c:pt idx="2">
                  <c:v>12 meses</c:v>
                </c:pt>
                <c:pt idx="3">
                  <c:v>18 meses</c:v>
                </c:pt>
                <c:pt idx="4">
                  <c:v>24 meses</c:v>
                </c:pt>
                <c:pt idx="5">
                  <c:v>36 meses</c:v>
                </c:pt>
                <c:pt idx="6">
                  <c:v>48 meses</c:v>
                </c:pt>
                <c:pt idx="7">
                  <c:v>60 meses</c:v>
                </c:pt>
              </c:strCache>
            </c:strRef>
          </c:cat>
          <c:val>
            <c:numRef>
              <c:f>'💡 Simulador'!$E$14:$E$21</c:f>
              <c:numCache>
                <c:formatCode>\¥#,##0</c:formatCode>
                <c:ptCount val="8"/>
                <c:pt idx="0">
                  <c:v>90222</c:v>
                </c:pt>
                <c:pt idx="1">
                  <c:v>181122</c:v>
                </c:pt>
                <c:pt idx="2">
                  <c:v>364977</c:v>
                </c:pt>
                <c:pt idx="3">
                  <c:v>551607</c:v>
                </c:pt>
                <c:pt idx="4">
                  <c:v>741055</c:v>
                </c:pt>
                <c:pt idx="5">
                  <c:v>1128572</c:v>
                </c:pt>
                <c:pt idx="6">
                  <c:v>1527875</c:v>
                </c:pt>
                <c:pt idx="7">
                  <c:v>1939324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DA-45E6-93F9-F1DCC0F52D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923066"/>
        <c:axId val="98000951"/>
      </c:barChart>
      <c:catAx>
        <c:axId val="7892306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98000951"/>
        <c:crosses val="autoZero"/>
        <c:auto val="1"/>
        <c:lblAlgn val="ctr"/>
        <c:lblOffset val="100"/>
        <c:noMultiLvlLbl val="0"/>
      </c:catAx>
      <c:valAx>
        <c:axId val="9800095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\¥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7892306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ja-JP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29</xdr:row>
      <xdr:rowOff>0</xdr:rowOff>
    </xdr:from>
    <xdr:to>
      <xdr:col>7</xdr:col>
      <xdr:colOff>172080</xdr:colOff>
      <xdr:row>44</xdr:row>
      <xdr:rowOff>166320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29</xdr:row>
      <xdr:rowOff>0</xdr:rowOff>
    </xdr:from>
    <xdr:to>
      <xdr:col>15</xdr:col>
      <xdr:colOff>250200</xdr:colOff>
      <xdr:row>44</xdr:row>
      <xdr:rowOff>166320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22</xdr:row>
      <xdr:rowOff>0</xdr:rowOff>
    </xdr:from>
    <xdr:to>
      <xdr:col>9</xdr:col>
      <xdr:colOff>900000</xdr:colOff>
      <xdr:row>44</xdr:row>
      <xdr:rowOff>127080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</xdr:row>
      <xdr:rowOff>0</xdr:rowOff>
    </xdr:from>
    <xdr:to>
      <xdr:col>6</xdr:col>
      <xdr:colOff>164880</xdr:colOff>
      <xdr:row>46</xdr:row>
      <xdr:rowOff>127080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B5CF6"/>
  </sheetPr>
  <dimension ref="A1:K210"/>
  <sheetViews>
    <sheetView showGridLines="0" zoomScale="85" zoomScaleNormal="85" workbookViewId="0">
      <pane xSplit="3" ySplit="6" topLeftCell="D64" activePane="bottomRight" state="frozen"/>
      <selection pane="topRight" activeCell="D1" sqref="D1"/>
      <selection pane="bottomLeft" activeCell="A7" sqref="A7"/>
      <selection pane="bottomRight" activeCell="B24" sqref="B24"/>
    </sheetView>
  </sheetViews>
  <sheetFormatPr defaultColWidth="8.6640625" defaultRowHeight="14.4"/>
  <cols>
    <col min="1" max="1" width="1.5546875" customWidth="1"/>
    <col min="2" max="2" width="26" customWidth="1"/>
    <col min="3" max="3" width="10" customWidth="1"/>
    <col min="4" max="10" width="16" customWidth="1"/>
    <col min="11" max="11" width="1.5546875" customWidth="1"/>
  </cols>
  <sheetData>
    <row r="1" spans="1:11" ht="3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19.5" customHeight="1">
      <c r="A2" s="4"/>
      <c r="B2" s="201" t="s">
        <v>0</v>
      </c>
      <c r="C2" s="201"/>
      <c r="D2" s="201"/>
      <c r="E2" s="201"/>
      <c r="F2" s="201"/>
      <c r="G2" s="201"/>
      <c r="H2" s="201"/>
      <c r="I2" s="201"/>
      <c r="J2" s="201"/>
      <c r="K2" s="4"/>
    </row>
    <row r="3" spans="1:11" ht="19.5" customHeight="1">
      <c r="A3" s="4"/>
      <c r="B3" s="2" t="s">
        <v>1</v>
      </c>
      <c r="C3" s="4"/>
      <c r="D3" s="4"/>
      <c r="E3" s="4"/>
      <c r="F3" s="4"/>
      <c r="G3" s="4"/>
      <c r="H3" s="4"/>
      <c r="I3" s="4"/>
      <c r="J3" s="4"/>
      <c r="K3" s="4"/>
    </row>
    <row r="4" spans="1:11" ht="6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 ht="13.5" customHeight="1">
      <c r="A5" s="4"/>
      <c r="B5" s="202" t="s">
        <v>2</v>
      </c>
      <c r="C5" s="202"/>
      <c r="D5" s="202"/>
      <c r="E5" s="202"/>
      <c r="F5" s="202"/>
      <c r="G5" s="202"/>
      <c r="H5" s="202"/>
      <c r="I5" s="202"/>
      <c r="J5" s="202"/>
      <c r="K5" s="202"/>
    </row>
    <row r="6" spans="1:11" ht="19.5" customHeight="1">
      <c r="A6" s="4"/>
      <c r="B6" s="5" t="s">
        <v>3</v>
      </c>
      <c r="C6" s="6" t="s">
        <v>4</v>
      </c>
      <c r="D6" s="7" t="str">
        <f>TEXT(DATE(YEAR($D$200)+INT((MONTH($D$200)+0-1)/12),MOD(MONTH($D$200)+0-1,12)+1,1),"MMM/YY")</f>
        <v>May/25</v>
      </c>
      <c r="E6" s="7" t="str">
        <f>TEXT(DATE(YEAR($D$200)+INT((MONTH($D$200)+1-1)/12),MOD(MONTH($D$200)+1-1,12)+1,1),"MMM/YY")</f>
        <v>Jun/25</v>
      </c>
      <c r="F6" s="7" t="str">
        <f>TEXT(DATE(YEAR($D$200)+INT((MONTH($D$200)+2-1)/12),MOD(MONTH($D$200)+2-1,12)+1,1),"MMM/YY")</f>
        <v>Jul/25</v>
      </c>
      <c r="G6" s="7" t="str">
        <f>TEXT(DATE(YEAR($D$200)+INT((MONTH($D$200)+3-1)/12),MOD(MONTH($D$200)+3-1,12)+1,1),"MMM/YY")</f>
        <v>Aug/25</v>
      </c>
      <c r="H6" s="7" t="str">
        <f>TEXT(DATE(YEAR($D$200)+INT((MONTH($D$200)+4-1)/12),MOD(MONTH($D$200)+4-1,12)+1,1),"MMM/YY")</f>
        <v>Sep/25</v>
      </c>
      <c r="I6" s="7" t="str">
        <f>TEXT(DATE(YEAR($D$200)+INT((MONTH($D$200)+5-1)/12),MOD(MONTH($D$200)+5-1,12)+1,1),"MMM/YY")</f>
        <v>Oct/25</v>
      </c>
      <c r="J6" s="8" t="s">
        <v>5</v>
      </c>
      <c r="K6" s="4"/>
    </row>
    <row r="7" spans="1:11" ht="3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 spans="1:11" ht="21.75" customHeight="1">
      <c r="A8" s="4"/>
      <c r="B8" s="203" t="s">
        <v>6</v>
      </c>
      <c r="C8" s="203"/>
      <c r="D8" s="203"/>
      <c r="E8" s="203"/>
      <c r="F8" s="203"/>
      <c r="G8" s="203"/>
      <c r="H8" s="203"/>
      <c r="I8" s="203"/>
      <c r="J8" s="203"/>
      <c r="K8" s="203"/>
    </row>
    <row r="9" spans="1:11" ht="21.75" customHeight="1">
      <c r="A9" s="10"/>
      <c r="B9" s="11" t="s">
        <v>7</v>
      </c>
      <c r="C9" s="12" t="s">
        <v>8</v>
      </c>
      <c r="D9" s="13">
        <v>374000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f t="shared" ref="J9:J18" si="0">SUM(D9,E9,F9,G9,H9,I9)</f>
        <v>374000</v>
      </c>
      <c r="K9" s="10"/>
    </row>
    <row r="10" spans="1:11" ht="19.5" customHeight="1">
      <c r="A10" s="14"/>
      <c r="B10" s="15"/>
      <c r="C10" s="16" t="s">
        <v>9</v>
      </c>
      <c r="D10" s="17">
        <f>IFERROR(SUMIFS('📋 Movimentações'!$F$15:$F$514,'📋 Movimentações'!$B$15:$B$514,"&gt;="&amp;DATE(YEAR($D$200)+INT((MONTH($D$200)+0-1)/12),MOD(MONTH($D$200)+0-1,12)+1,1),'📋 Movimentações'!$B$15:$B$514,"&lt;="&amp;EOMONTH(DATE(YEAR($D$200)+INT((MONTH($D$200)+0-1)/12),MOD(MONTH($D$200)+0-1,12)+1,1),0),'📋 Movimentações'!$E$15:$E$514,"Entrada",'📋 Movimentações'!$D$15:$D$514,"Salário"),0)</f>
        <v>374000</v>
      </c>
      <c r="E10" s="17">
        <f>IFERROR(SUMIFS('📋 Movimentações'!$F$15:$F$514,'📋 Movimentações'!$B$15:$B$514,"&gt;="&amp;DATE(YEAR($D$200)+INT((MONTH($D$200)+1-1)/12),MOD(MONTH($D$200)+1-1,12)+1,1),'📋 Movimentações'!$B$15:$B$514,"&lt;="&amp;EOMONTH(DATE(YEAR($D$200)+INT((MONTH($D$200)+1-1)/12),MOD(MONTH($D$200)+1-1,12)+1,1),0),'📋 Movimentações'!$E$15:$E$514,"Entrada",'📋 Movimentações'!$D$15:$D$514,"Salário"),0)</f>
        <v>0</v>
      </c>
      <c r="F10" s="17">
        <f>IFERROR(SUMIFS('📋 Movimentações'!$F$15:$F$514,'📋 Movimentações'!$B$15:$B$514,"&gt;="&amp;DATE(YEAR($D$200)+INT((MONTH($D$200)+2-1)/12),MOD(MONTH($D$200)+2-1,12)+1,1),'📋 Movimentações'!$B$15:$B$514,"&lt;="&amp;EOMONTH(DATE(YEAR($D$200)+INT((MONTH($D$200)+2-1)/12),MOD(MONTH($D$200)+2-1,12)+1,1),0),'📋 Movimentações'!$E$15:$E$514,"Entrada",'📋 Movimentações'!$D$15:$D$514,"Salário"),0)</f>
        <v>0</v>
      </c>
      <c r="G10" s="17">
        <f>IFERROR(SUMIFS('📋 Movimentações'!$F$15:$F$514,'📋 Movimentações'!$B$15:$B$514,"&gt;="&amp;DATE(YEAR($D$200)+INT((MONTH($D$200)+3-1)/12),MOD(MONTH($D$200)+3-1,12)+1,1),'📋 Movimentações'!$B$15:$B$514,"&lt;="&amp;EOMONTH(DATE(YEAR($D$200)+INT((MONTH($D$200)+3-1)/12),MOD(MONTH($D$200)+3-1,12)+1,1),0),'📋 Movimentações'!$E$15:$E$514,"Entrada",'📋 Movimentações'!$D$15:$D$514,"Salário"),0)</f>
        <v>0</v>
      </c>
      <c r="H10" s="17">
        <f>IFERROR(SUMIFS('📋 Movimentações'!$F$15:$F$514,'📋 Movimentações'!$B$15:$B$514,"&gt;="&amp;DATE(YEAR($D$200)+INT((MONTH($D$200)+4-1)/12),MOD(MONTH($D$200)+4-1,12)+1,1),'📋 Movimentações'!$B$15:$B$514,"&lt;="&amp;EOMONTH(DATE(YEAR($D$200)+INT((MONTH($D$200)+4-1)/12),MOD(MONTH($D$200)+4-1,12)+1,1),0),'📋 Movimentações'!$E$15:$E$514,"Entrada",'📋 Movimentações'!$D$15:$D$514,"Salário"),0)</f>
        <v>0</v>
      </c>
      <c r="I10" s="17">
        <f>IFERROR(SUMIFS('📋 Movimentações'!$F$15:$F$514,'📋 Movimentações'!$B$15:$B$514,"&gt;="&amp;DATE(YEAR($D$200)+INT((MONTH($D$200)+5-1)/12),MOD(MONTH($D$200)+5-1,12)+1,1),'📋 Movimentações'!$B$15:$B$514,"&lt;="&amp;EOMONTH(DATE(YEAR($D$200)+INT((MONTH($D$200)+5-1)/12),MOD(MONTH($D$200)+5-1,12)+1,1),0),'📋 Movimentações'!$E$15:$E$514,"Entrada",'📋 Movimentações'!$D$15:$D$514,"Salário"),0)</f>
        <v>0</v>
      </c>
      <c r="J10" s="18">
        <f t="shared" si="0"/>
        <v>374000</v>
      </c>
      <c r="K10" s="14"/>
    </row>
    <row r="11" spans="1:11" ht="21.75" customHeight="1">
      <c r="A11" s="10"/>
      <c r="B11" s="11" t="s">
        <v>10</v>
      </c>
      <c r="C11" s="12" t="s">
        <v>8</v>
      </c>
      <c r="D11" s="13">
        <v>20000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f t="shared" si="0"/>
        <v>20000</v>
      </c>
      <c r="K11" s="10"/>
    </row>
    <row r="12" spans="1:11" ht="19.5" customHeight="1">
      <c r="A12" s="14"/>
      <c r="B12" s="15"/>
      <c r="C12" s="16" t="s">
        <v>9</v>
      </c>
      <c r="D12" s="17">
        <f>IFERROR(SUMIFS('📋 Movimentações'!$F$15:$F$514,'📋 Movimentações'!$B$15:$B$514,"&gt;="&amp;DATE(YEAR($D$200)+INT((MONTH($D$200)+0-1)/12),MOD(MONTH($D$200)+0-1,12)+1,1),'📋 Movimentações'!$B$15:$B$514,"&lt;="&amp;EOMONTH(DATE(YEAR($D$200)+INT((MONTH($D$200)+0-1)/12),MOD(MONTH($D$200)+0-1,12)+1,1),0),'📋 Movimentações'!$E$15:$E$514,"Entrada",'📋 Movimentações'!$D$15:$D$514,"Hora Extra"),0)</f>
        <v>0</v>
      </c>
      <c r="E12" s="17">
        <f>IFERROR(SUMIFS('📋 Movimentações'!$F$15:$F$514,'📋 Movimentações'!$B$15:$B$514,"&gt;="&amp;DATE(YEAR($D$200)+INT((MONTH($D$200)+1-1)/12),MOD(MONTH($D$200)+1-1,12)+1,1),'📋 Movimentações'!$B$15:$B$514,"&lt;="&amp;EOMONTH(DATE(YEAR($D$200)+INT((MONTH($D$200)+1-1)/12),MOD(MONTH($D$200)+1-1,12)+1,1),0),'📋 Movimentações'!$E$15:$E$514,"Entrada",'📋 Movimentações'!$D$15:$D$514,"Hora Extra"),0)</f>
        <v>0</v>
      </c>
      <c r="F12" s="17">
        <f>IFERROR(SUMIFS('📋 Movimentações'!$F$15:$F$514,'📋 Movimentações'!$B$15:$B$514,"&gt;="&amp;DATE(YEAR($D$200)+INT((MONTH($D$200)+2-1)/12),MOD(MONTH($D$200)+2-1,12)+1,1),'📋 Movimentações'!$B$15:$B$514,"&lt;="&amp;EOMONTH(DATE(YEAR($D$200)+INT((MONTH($D$200)+2-1)/12),MOD(MONTH($D$200)+2-1,12)+1,1),0),'📋 Movimentações'!$E$15:$E$514,"Entrada",'📋 Movimentações'!$D$15:$D$514,"Hora Extra"),0)</f>
        <v>0</v>
      </c>
      <c r="G12" s="17">
        <f>IFERROR(SUMIFS('📋 Movimentações'!$F$15:$F$514,'📋 Movimentações'!$B$15:$B$514,"&gt;="&amp;DATE(YEAR($D$200)+INT((MONTH($D$200)+3-1)/12),MOD(MONTH($D$200)+3-1,12)+1,1),'📋 Movimentações'!$B$15:$B$514,"&lt;="&amp;EOMONTH(DATE(YEAR($D$200)+INT((MONTH($D$200)+3-1)/12),MOD(MONTH($D$200)+3-1,12)+1,1),0),'📋 Movimentações'!$E$15:$E$514,"Entrada",'📋 Movimentações'!$D$15:$D$514,"Hora Extra"),0)</f>
        <v>0</v>
      </c>
      <c r="H12" s="17">
        <f>IFERROR(SUMIFS('📋 Movimentações'!$F$15:$F$514,'📋 Movimentações'!$B$15:$B$514,"&gt;="&amp;DATE(YEAR($D$200)+INT((MONTH($D$200)+4-1)/12),MOD(MONTH($D$200)+4-1,12)+1,1),'📋 Movimentações'!$B$15:$B$514,"&lt;="&amp;EOMONTH(DATE(YEAR($D$200)+INT((MONTH($D$200)+4-1)/12),MOD(MONTH($D$200)+4-1,12)+1,1),0),'📋 Movimentações'!$E$15:$E$514,"Entrada",'📋 Movimentações'!$D$15:$D$514,"Hora Extra"),0)</f>
        <v>0</v>
      </c>
      <c r="I12" s="17">
        <f>IFERROR(SUMIFS('📋 Movimentações'!$F$15:$F$514,'📋 Movimentações'!$B$15:$B$514,"&gt;="&amp;DATE(YEAR($D$200)+INT((MONTH($D$200)+5-1)/12),MOD(MONTH($D$200)+5-1,12)+1,1),'📋 Movimentações'!$B$15:$B$514,"&lt;="&amp;EOMONTH(DATE(YEAR($D$200)+INT((MONTH($D$200)+5-1)/12),MOD(MONTH($D$200)+5-1,12)+1,1),0),'📋 Movimentações'!$E$15:$E$514,"Entrada",'📋 Movimentações'!$D$15:$D$514,"Hora Extra"),0)</f>
        <v>0</v>
      </c>
      <c r="J12" s="18">
        <f t="shared" si="0"/>
        <v>0</v>
      </c>
      <c r="K12" s="14"/>
    </row>
    <row r="13" spans="1:11" ht="21.75" customHeight="1">
      <c r="A13" s="10"/>
      <c r="B13" s="11" t="s">
        <v>11</v>
      </c>
      <c r="C13" s="12" t="s">
        <v>8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f t="shared" si="0"/>
        <v>0</v>
      </c>
      <c r="K13" s="10"/>
    </row>
    <row r="14" spans="1:11" ht="19.5" customHeight="1">
      <c r="A14" s="14"/>
      <c r="B14" s="15"/>
      <c r="C14" s="16" t="s">
        <v>9</v>
      </c>
      <c r="D14" s="17">
        <f>IFERROR(SUMIFS('📋 Movimentações'!$F$15:$F$514,'📋 Movimentações'!$B$15:$B$514,"&gt;="&amp;DATE(YEAR($D$200)+INT((MONTH($D$200)+0-1)/12),MOD(MONTH($D$200)+0-1,12)+1,1),'📋 Movimentações'!$B$15:$B$514,"&lt;="&amp;EOMONTH(DATE(YEAR($D$200)+INT((MONTH($D$200)+0-1)/12),MOD(MONTH($D$200)+0-1,12)+1,1),0),'📋 Movimentações'!$E$15:$E$514,"Entrada",'📋 Movimentações'!$D$15:$D$514,"Bônus"),0)</f>
        <v>55000</v>
      </c>
      <c r="E14" s="17">
        <f>IFERROR(SUMIFS('📋 Movimentações'!$F$15:$F$514,'📋 Movimentações'!$B$15:$B$514,"&gt;="&amp;DATE(YEAR($D$200)+INT((MONTH($D$200)+1-1)/12),MOD(MONTH($D$200)+1-1,12)+1,1),'📋 Movimentações'!$B$15:$B$514,"&lt;="&amp;EOMONTH(DATE(YEAR($D$200)+INT((MONTH($D$200)+1-1)/12),MOD(MONTH($D$200)+1-1,12)+1,1),0),'📋 Movimentações'!$E$15:$E$514,"Entrada",'📋 Movimentações'!$D$15:$D$514,"Bônus"),0)</f>
        <v>0</v>
      </c>
      <c r="F14" s="17">
        <f>IFERROR(SUMIFS('📋 Movimentações'!$F$15:$F$514,'📋 Movimentações'!$B$15:$B$514,"&gt;="&amp;DATE(YEAR($D$200)+INT((MONTH($D$200)+2-1)/12),MOD(MONTH($D$200)+2-1,12)+1,1),'📋 Movimentações'!$B$15:$B$514,"&lt;="&amp;EOMONTH(DATE(YEAR($D$200)+INT((MONTH($D$200)+2-1)/12),MOD(MONTH($D$200)+2-1,12)+1,1),0),'📋 Movimentações'!$E$15:$E$514,"Entrada",'📋 Movimentações'!$D$15:$D$514,"Bônus"),0)</f>
        <v>0</v>
      </c>
      <c r="G14" s="17">
        <f>IFERROR(SUMIFS('📋 Movimentações'!$F$15:$F$514,'📋 Movimentações'!$B$15:$B$514,"&gt;="&amp;DATE(YEAR($D$200)+INT((MONTH($D$200)+3-1)/12),MOD(MONTH($D$200)+3-1,12)+1,1),'📋 Movimentações'!$B$15:$B$514,"&lt;="&amp;EOMONTH(DATE(YEAR($D$200)+INT((MONTH($D$200)+3-1)/12),MOD(MONTH($D$200)+3-1,12)+1,1),0),'📋 Movimentações'!$E$15:$E$514,"Entrada",'📋 Movimentações'!$D$15:$D$514,"Bônus"),0)</f>
        <v>0</v>
      </c>
      <c r="H14" s="17">
        <f>IFERROR(SUMIFS('📋 Movimentações'!$F$15:$F$514,'📋 Movimentações'!$B$15:$B$514,"&gt;="&amp;DATE(YEAR($D$200)+INT((MONTH($D$200)+4-1)/12),MOD(MONTH($D$200)+4-1,12)+1,1),'📋 Movimentações'!$B$15:$B$514,"&lt;="&amp;EOMONTH(DATE(YEAR($D$200)+INT((MONTH($D$200)+4-1)/12),MOD(MONTH($D$200)+4-1,12)+1,1),0),'📋 Movimentações'!$E$15:$E$514,"Entrada",'📋 Movimentações'!$D$15:$D$514,"Bônus"),0)</f>
        <v>0</v>
      </c>
      <c r="I14" s="17">
        <f>IFERROR(SUMIFS('📋 Movimentações'!$F$15:$F$514,'📋 Movimentações'!$B$15:$B$514,"&gt;="&amp;DATE(YEAR($D$200)+INT((MONTH($D$200)+5-1)/12),MOD(MONTH($D$200)+5-1,12)+1,1),'📋 Movimentações'!$B$15:$B$514,"&lt;="&amp;EOMONTH(DATE(YEAR($D$200)+INT((MONTH($D$200)+5-1)/12),MOD(MONTH($D$200)+5-1,12)+1,1),0),'📋 Movimentações'!$E$15:$E$514,"Entrada",'📋 Movimentações'!$D$15:$D$514,"Bônus"),0)</f>
        <v>0</v>
      </c>
      <c r="J14" s="18">
        <f t="shared" si="0"/>
        <v>55000</v>
      </c>
      <c r="K14" s="14"/>
    </row>
    <row r="15" spans="1:11" ht="21.75" customHeight="1">
      <c r="A15" s="10"/>
      <c r="B15" s="11" t="s">
        <v>12</v>
      </c>
      <c r="C15" s="12" t="s">
        <v>8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f t="shared" si="0"/>
        <v>0</v>
      </c>
      <c r="K15" s="10"/>
    </row>
    <row r="16" spans="1:11" ht="19.5" customHeight="1">
      <c r="A16" s="14"/>
      <c r="B16" s="15"/>
      <c r="C16" s="16" t="s">
        <v>9</v>
      </c>
      <c r="D16" s="17">
        <f>IFERROR(SUMIFS('📋 Movimentações'!$F$15:$F$514,'📋 Movimentações'!$B$15:$B$514,"&gt;="&amp;DATE(YEAR($D$200)+INT((MONTH($D$200)+0-1)/12),MOD(MONTH($D$200)+0-1,12)+1,1),'📋 Movimentações'!$B$15:$B$514,"&lt;="&amp;EOMONTH(DATE(YEAR($D$200)+INT((MONTH($D$200)+0-1)/12),MOD(MONTH($D$200)+0-1,12)+1,1),0),'📋 Movimentações'!$E$15:$E$514,"Entrada",'📋 Movimentações'!$D$15:$D$514,"Arubaito/Extra"),0)</f>
        <v>0</v>
      </c>
      <c r="E16" s="17">
        <f>IFERROR(SUMIFS('📋 Movimentações'!$F$15:$F$514,'📋 Movimentações'!$B$15:$B$514,"&gt;="&amp;DATE(YEAR($D$200)+INT((MONTH($D$200)+1-1)/12),MOD(MONTH($D$200)+1-1,12)+1,1),'📋 Movimentações'!$B$15:$B$514,"&lt;="&amp;EOMONTH(DATE(YEAR($D$200)+INT((MONTH($D$200)+1-1)/12),MOD(MONTH($D$200)+1-1,12)+1,1),0),'📋 Movimentações'!$E$15:$E$514,"Entrada",'📋 Movimentações'!$D$15:$D$514,"Arubaito/Extra"),0)</f>
        <v>0</v>
      </c>
      <c r="F16" s="17">
        <f>IFERROR(SUMIFS('📋 Movimentações'!$F$15:$F$514,'📋 Movimentações'!$B$15:$B$514,"&gt;="&amp;DATE(YEAR($D$200)+INT((MONTH($D$200)+2-1)/12),MOD(MONTH($D$200)+2-1,12)+1,1),'📋 Movimentações'!$B$15:$B$514,"&lt;="&amp;EOMONTH(DATE(YEAR($D$200)+INT((MONTH($D$200)+2-1)/12),MOD(MONTH($D$200)+2-1,12)+1,1),0),'📋 Movimentações'!$E$15:$E$514,"Entrada",'📋 Movimentações'!$D$15:$D$514,"Arubaito/Extra"),0)</f>
        <v>0</v>
      </c>
      <c r="G16" s="17">
        <f>IFERROR(SUMIFS('📋 Movimentações'!$F$15:$F$514,'📋 Movimentações'!$B$15:$B$514,"&gt;="&amp;DATE(YEAR($D$200)+INT((MONTH($D$200)+3-1)/12),MOD(MONTH($D$200)+3-1,12)+1,1),'📋 Movimentações'!$B$15:$B$514,"&lt;="&amp;EOMONTH(DATE(YEAR($D$200)+INT((MONTH($D$200)+3-1)/12),MOD(MONTH($D$200)+3-1,12)+1,1),0),'📋 Movimentações'!$E$15:$E$514,"Entrada",'📋 Movimentações'!$D$15:$D$514,"Arubaito/Extra"),0)</f>
        <v>0</v>
      </c>
      <c r="H16" s="17">
        <f>IFERROR(SUMIFS('📋 Movimentações'!$F$15:$F$514,'📋 Movimentações'!$B$15:$B$514,"&gt;="&amp;DATE(YEAR($D$200)+INT((MONTH($D$200)+4-1)/12),MOD(MONTH($D$200)+4-1,12)+1,1),'📋 Movimentações'!$B$15:$B$514,"&lt;="&amp;EOMONTH(DATE(YEAR($D$200)+INT((MONTH($D$200)+4-1)/12),MOD(MONTH($D$200)+4-1,12)+1,1),0),'📋 Movimentações'!$E$15:$E$514,"Entrada",'📋 Movimentações'!$D$15:$D$514,"Arubaito/Extra"),0)</f>
        <v>0</v>
      </c>
      <c r="I16" s="17">
        <f>IFERROR(SUMIFS('📋 Movimentações'!$F$15:$F$514,'📋 Movimentações'!$B$15:$B$514,"&gt;="&amp;DATE(YEAR($D$200)+INT((MONTH($D$200)+5-1)/12),MOD(MONTH($D$200)+5-1,12)+1,1),'📋 Movimentações'!$B$15:$B$514,"&lt;="&amp;EOMONTH(DATE(YEAR($D$200)+INT((MONTH($D$200)+5-1)/12),MOD(MONTH($D$200)+5-1,12)+1,1),0),'📋 Movimentações'!$E$15:$E$514,"Entrada",'📋 Movimentações'!$D$15:$D$514,"Arubaito/Extra"),0)</f>
        <v>0</v>
      </c>
      <c r="J16" s="18">
        <f t="shared" si="0"/>
        <v>0</v>
      </c>
      <c r="K16" s="14"/>
    </row>
    <row r="17" spans="1:11" ht="21.75" customHeight="1">
      <c r="A17" s="10"/>
      <c r="B17" s="11" t="s">
        <v>13</v>
      </c>
      <c r="C17" s="12" t="s">
        <v>8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f t="shared" si="0"/>
        <v>0</v>
      </c>
      <c r="K17" s="10"/>
    </row>
    <row r="18" spans="1:11" ht="19.5" customHeight="1">
      <c r="A18" s="14"/>
      <c r="B18" s="15"/>
      <c r="C18" s="16" t="s">
        <v>9</v>
      </c>
      <c r="D18" s="17">
        <f>IFERROR(SUMIFS('📋 Movimentações'!$F$15:$F$514,'📋 Movimentações'!$B$15:$B$514,"&gt;="&amp;DATE(YEAR($D$200)+INT((MONTH($D$200)+0-1)/12),MOD(MONTH($D$200)+0-1,12)+1,1),'📋 Movimentações'!$B$15:$B$514,"&lt;="&amp;EOMONTH(DATE(YEAR($D$200)+INT((MONTH($D$200)+0-1)/12),MOD(MONTH($D$200)+0-1,12)+1,1),0),'📋 Movimentações'!$E$15:$E$514,"Entrada",'📋 Movimentações'!$D$15:$D$514,"Reembolso"),0)</f>
        <v>0</v>
      </c>
      <c r="E18" s="17">
        <f>IFERROR(SUMIFS('📋 Movimentações'!$F$15:$F$514,'📋 Movimentações'!$B$15:$B$514,"&gt;="&amp;DATE(YEAR($D$200)+INT((MONTH($D$200)+1-1)/12),MOD(MONTH($D$200)+1-1,12)+1,1),'📋 Movimentações'!$B$15:$B$514,"&lt;="&amp;EOMONTH(DATE(YEAR($D$200)+INT((MONTH($D$200)+1-1)/12),MOD(MONTH($D$200)+1-1,12)+1,1),0),'📋 Movimentações'!$E$15:$E$514,"Entrada",'📋 Movimentações'!$D$15:$D$514,"Reembolso"),0)</f>
        <v>0</v>
      </c>
      <c r="F18" s="17">
        <f>IFERROR(SUMIFS('📋 Movimentações'!$F$15:$F$514,'📋 Movimentações'!$B$15:$B$514,"&gt;="&amp;DATE(YEAR($D$200)+INT((MONTH($D$200)+2-1)/12),MOD(MONTH($D$200)+2-1,12)+1,1),'📋 Movimentações'!$B$15:$B$514,"&lt;="&amp;EOMONTH(DATE(YEAR($D$200)+INT((MONTH($D$200)+2-1)/12),MOD(MONTH($D$200)+2-1,12)+1,1),0),'📋 Movimentações'!$E$15:$E$514,"Entrada",'📋 Movimentações'!$D$15:$D$514,"Reembolso"),0)</f>
        <v>0</v>
      </c>
      <c r="G18" s="17">
        <f>IFERROR(SUMIFS('📋 Movimentações'!$F$15:$F$514,'📋 Movimentações'!$B$15:$B$514,"&gt;="&amp;DATE(YEAR($D$200)+INT((MONTH($D$200)+3-1)/12),MOD(MONTH($D$200)+3-1,12)+1,1),'📋 Movimentações'!$B$15:$B$514,"&lt;="&amp;EOMONTH(DATE(YEAR($D$200)+INT((MONTH($D$200)+3-1)/12),MOD(MONTH($D$200)+3-1,12)+1,1),0),'📋 Movimentações'!$E$15:$E$514,"Entrada",'📋 Movimentações'!$D$15:$D$514,"Reembolso"),0)</f>
        <v>0</v>
      </c>
      <c r="H18" s="17">
        <f>IFERROR(SUMIFS('📋 Movimentações'!$F$15:$F$514,'📋 Movimentações'!$B$15:$B$514,"&gt;="&amp;DATE(YEAR($D$200)+INT((MONTH($D$200)+4-1)/12),MOD(MONTH($D$200)+4-1,12)+1,1),'📋 Movimentações'!$B$15:$B$514,"&lt;="&amp;EOMONTH(DATE(YEAR($D$200)+INT((MONTH($D$200)+4-1)/12),MOD(MONTH($D$200)+4-1,12)+1,1),0),'📋 Movimentações'!$E$15:$E$514,"Entrada",'📋 Movimentações'!$D$15:$D$514,"Reembolso"),0)</f>
        <v>0</v>
      </c>
      <c r="I18" s="17">
        <f>IFERROR(SUMIFS('📋 Movimentações'!$F$15:$F$514,'📋 Movimentações'!$B$15:$B$514,"&gt;="&amp;DATE(YEAR($D$200)+INT((MONTH($D$200)+5-1)/12),MOD(MONTH($D$200)+5-1,12)+1,1),'📋 Movimentações'!$B$15:$B$514,"&lt;="&amp;EOMONTH(DATE(YEAR($D$200)+INT((MONTH($D$200)+5-1)/12),MOD(MONTH($D$200)+5-1,12)+1,1),0),'📋 Movimentações'!$E$15:$E$514,"Entrada",'📋 Movimentações'!$D$15:$D$514,"Reembolso"),0)</f>
        <v>0</v>
      </c>
      <c r="J18" s="18">
        <f t="shared" si="0"/>
        <v>0</v>
      </c>
      <c r="K18" s="14"/>
    </row>
    <row r="19" spans="1:11" ht="24" customHeight="1">
      <c r="A19" s="4"/>
      <c r="B19" s="19" t="s">
        <v>14</v>
      </c>
      <c r="C19" s="20" t="s">
        <v>15</v>
      </c>
      <c r="D19" s="21">
        <f t="shared" ref="D19:I20" si="1">D9+D11+D13+D15+D17</f>
        <v>394000</v>
      </c>
      <c r="E19" s="21">
        <f t="shared" si="1"/>
        <v>0</v>
      </c>
      <c r="F19" s="21">
        <f t="shared" si="1"/>
        <v>0</v>
      </c>
      <c r="G19" s="21">
        <f t="shared" si="1"/>
        <v>0</v>
      </c>
      <c r="H19" s="21">
        <f t="shared" si="1"/>
        <v>0</v>
      </c>
      <c r="I19" s="21">
        <f t="shared" si="1"/>
        <v>0</v>
      </c>
      <c r="J19" s="21">
        <f>SUM(D19:I19)</f>
        <v>394000</v>
      </c>
      <c r="K19" s="4"/>
    </row>
    <row r="20" spans="1:11" ht="21.75" customHeight="1">
      <c r="A20" s="4"/>
      <c r="B20" s="22"/>
      <c r="C20" s="23" t="s">
        <v>9</v>
      </c>
      <c r="D20" s="24">
        <f t="shared" si="1"/>
        <v>429000</v>
      </c>
      <c r="E20" s="24">
        <f t="shared" si="1"/>
        <v>0</v>
      </c>
      <c r="F20" s="24">
        <f t="shared" si="1"/>
        <v>0</v>
      </c>
      <c r="G20" s="24">
        <f t="shared" si="1"/>
        <v>0</v>
      </c>
      <c r="H20" s="24">
        <f t="shared" si="1"/>
        <v>0</v>
      </c>
      <c r="I20" s="24">
        <f t="shared" si="1"/>
        <v>0</v>
      </c>
      <c r="J20" s="24">
        <f>SUM(D20:I20)</f>
        <v>429000</v>
      </c>
      <c r="K20" s="4"/>
    </row>
    <row r="21" spans="1:11" ht="7.5" customHeight="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</row>
    <row r="22" spans="1:11" ht="3" customHeight="1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</row>
    <row r="23" spans="1:11" ht="21.75" customHeight="1">
      <c r="A23" s="4"/>
      <c r="B23" s="204" t="s">
        <v>16</v>
      </c>
      <c r="C23" s="204"/>
      <c r="D23" s="204"/>
      <c r="E23" s="204"/>
      <c r="F23" s="204"/>
      <c r="G23" s="204"/>
      <c r="H23" s="204"/>
      <c r="I23" s="204"/>
      <c r="J23" s="204"/>
      <c r="K23" s="204"/>
    </row>
    <row r="24" spans="1:11" ht="19.5" customHeight="1">
      <c r="A24" s="10"/>
      <c r="B24" s="11" t="s">
        <v>17</v>
      </c>
      <c r="C24" s="12" t="s">
        <v>8</v>
      </c>
      <c r="D24" s="27">
        <f>'🏠 Gastos Fixos'!C5</f>
        <v>30100</v>
      </c>
      <c r="E24" s="27">
        <f>'🏠 Gastos Fixos'!C5</f>
        <v>30100</v>
      </c>
      <c r="F24" s="27">
        <f>'🏠 Gastos Fixos'!C5</f>
        <v>30100</v>
      </c>
      <c r="G24" s="27">
        <f>'🏠 Gastos Fixos'!C5</f>
        <v>30100</v>
      </c>
      <c r="H24" s="27">
        <f>'🏠 Gastos Fixos'!C5</f>
        <v>30100</v>
      </c>
      <c r="I24" s="27">
        <f>'🏠 Gastos Fixos'!C5</f>
        <v>30100</v>
      </c>
      <c r="J24" s="28">
        <f>'🏠 Gastos Fixos'!C5*6</f>
        <v>180600</v>
      </c>
      <c r="K24" s="10"/>
    </row>
    <row r="25" spans="1:11" ht="18" customHeight="1">
      <c r="A25" s="14"/>
      <c r="B25" s="15"/>
      <c r="C25" s="16" t="s">
        <v>9</v>
      </c>
      <c r="D25" s="29">
        <f>IFERROR(SUMIFS('📋 Movimentações'!$F$15:$F$514,'📋 Movimentações'!$B$15:$B$514,"&gt;="&amp;DATE(YEAR($D$200)+INT((MONTH($D$200)+0-1)/12),MOD(MONTH($D$200)+0-1,12)+1,1),'📋 Movimentações'!$B$15:$B$514,"&lt;="&amp;EOMONTH(DATE(YEAR($D$200)+INT((MONTH($D$200)+0-1)/12),MOD(MONTH($D$200)+0-1,12)+1,1),0),'📋 Movimentações'!$E$15:$E$514,"Saída",'📋 Movimentações'!$D$15:$D$514,"Aluguel"),0)</f>
        <v>30000</v>
      </c>
      <c r="E25" s="29">
        <f>IFERROR(SUMIFS('📋 Movimentações'!$F$15:$F$514,'📋 Movimentações'!$B$15:$B$514,"&gt;="&amp;DATE(YEAR($D$200)+INT((MONTH($D$200)+1-1)/12),MOD(MONTH($D$200)+1-1,12)+1,1),'📋 Movimentações'!$B$15:$B$514,"&lt;="&amp;EOMONTH(DATE(YEAR($D$200)+INT((MONTH($D$200)+1-1)/12),MOD(MONTH($D$200)+1-1,12)+1,1),0),'📋 Movimentações'!$E$15:$E$514,"Saída",'📋 Movimentações'!$D$15:$D$514,"Aluguel"),0)</f>
        <v>0</v>
      </c>
      <c r="F25" s="29">
        <f>IFERROR(SUMIFS('📋 Movimentações'!$F$15:$F$514,'📋 Movimentações'!$B$15:$B$514,"&gt;="&amp;DATE(YEAR($D$200)+INT((MONTH($D$200)+2-1)/12),MOD(MONTH($D$200)+2-1,12)+1,1),'📋 Movimentações'!$B$15:$B$514,"&lt;="&amp;EOMONTH(DATE(YEAR($D$200)+INT((MONTH($D$200)+2-1)/12),MOD(MONTH($D$200)+2-1,12)+1,1),0),'📋 Movimentações'!$E$15:$E$514,"Saída",'📋 Movimentações'!$D$15:$D$514,"Aluguel"),0)</f>
        <v>0</v>
      </c>
      <c r="G25" s="29">
        <f>IFERROR(SUMIFS('📋 Movimentações'!$F$15:$F$514,'📋 Movimentações'!$B$15:$B$514,"&gt;="&amp;DATE(YEAR($D$200)+INT((MONTH($D$200)+3-1)/12),MOD(MONTH($D$200)+3-1,12)+1,1),'📋 Movimentações'!$B$15:$B$514,"&lt;="&amp;EOMONTH(DATE(YEAR($D$200)+INT((MONTH($D$200)+3-1)/12),MOD(MONTH($D$200)+3-1,12)+1,1),0),'📋 Movimentações'!$E$15:$E$514,"Saída",'📋 Movimentações'!$D$15:$D$514,"Aluguel"),0)</f>
        <v>0</v>
      </c>
      <c r="H25" s="29">
        <f>IFERROR(SUMIFS('📋 Movimentações'!$F$15:$F$514,'📋 Movimentações'!$B$15:$B$514,"&gt;="&amp;DATE(YEAR($D$200)+INT((MONTH($D$200)+4-1)/12),MOD(MONTH($D$200)+4-1,12)+1,1),'📋 Movimentações'!$B$15:$B$514,"&lt;="&amp;EOMONTH(DATE(YEAR($D$200)+INT((MONTH($D$200)+4-1)/12),MOD(MONTH($D$200)+4-1,12)+1,1),0),'📋 Movimentações'!$E$15:$E$514,"Saída",'📋 Movimentações'!$D$15:$D$514,"Aluguel"),0)</f>
        <v>0</v>
      </c>
      <c r="I25" s="29">
        <f>IFERROR(SUMIFS('📋 Movimentações'!$F$15:$F$514,'📋 Movimentações'!$B$15:$B$514,"&gt;="&amp;DATE(YEAR($D$200)+INT((MONTH($D$200)+5-1)/12),MOD(MONTH($D$200)+5-1,12)+1,1),'📋 Movimentações'!$B$15:$B$514,"&lt;="&amp;EOMONTH(DATE(YEAR($D$200)+INT((MONTH($D$200)+5-1)/12),MOD(MONTH($D$200)+5-1,12)+1,1),0),'📋 Movimentações'!$E$15:$E$514,"Saída",'📋 Movimentações'!$D$15:$D$514,"Aluguel"),0)</f>
        <v>0</v>
      </c>
      <c r="J25" s="30">
        <f>SUM(D25,E25,F25,G25,H25,I25)</f>
        <v>30000</v>
      </c>
      <c r="K25" s="14"/>
    </row>
    <row r="26" spans="1:11" ht="19.5" customHeight="1">
      <c r="A26" s="10"/>
      <c r="B26" s="11" t="s">
        <v>18</v>
      </c>
      <c r="C26" s="12" t="s">
        <v>8</v>
      </c>
      <c r="D26" s="27">
        <f>'🏠 Gastos Fixos'!C6</f>
        <v>0</v>
      </c>
      <c r="E26" s="27">
        <f>'🏠 Gastos Fixos'!C6</f>
        <v>0</v>
      </c>
      <c r="F26" s="27">
        <f>'🏠 Gastos Fixos'!C6</f>
        <v>0</v>
      </c>
      <c r="G26" s="27">
        <f>'🏠 Gastos Fixos'!C6</f>
        <v>0</v>
      </c>
      <c r="H26" s="27">
        <f>'🏠 Gastos Fixos'!C6</f>
        <v>0</v>
      </c>
      <c r="I26" s="27">
        <f>'🏠 Gastos Fixos'!C6</f>
        <v>0</v>
      </c>
      <c r="J26" s="28">
        <f>'🏠 Gastos Fixos'!C6*6</f>
        <v>0</v>
      </c>
      <c r="K26" s="10"/>
    </row>
    <row r="27" spans="1:11" ht="18" customHeight="1">
      <c r="A27" s="14"/>
      <c r="B27" s="15"/>
      <c r="C27" s="16" t="s">
        <v>9</v>
      </c>
      <c r="D27" s="29">
        <f>IFERROR(SUMIFS('📋 Movimentações'!$F$15:$F$514,'📋 Movimentações'!$B$15:$B$514,"&gt;="&amp;DATE(YEAR($D$200)+INT((MONTH($D$200)+0-1)/12),MOD(MONTH($D$200)+0-1,12)+1,1),'📋 Movimentações'!$B$15:$B$514,"&lt;="&amp;EOMONTH(DATE(YEAR($D$200)+INT((MONTH($D$200)+0-1)/12),MOD(MONTH($D$200)+0-1,12)+1,1),0),'📋 Movimentações'!$E$15:$E$514,"Saída",'📋 Movimentações'!$D$15:$D$514,"Luz"),0)</f>
        <v>0</v>
      </c>
      <c r="E27" s="29">
        <f>IFERROR(SUMIFS('📋 Movimentações'!$F$15:$F$514,'📋 Movimentações'!$B$15:$B$514,"&gt;="&amp;DATE(YEAR($D$200)+INT((MONTH($D$200)+1-1)/12),MOD(MONTH($D$200)+1-1,12)+1,1),'📋 Movimentações'!$B$15:$B$514,"&lt;="&amp;EOMONTH(DATE(YEAR($D$200)+INT((MONTH($D$200)+1-1)/12),MOD(MONTH($D$200)+1-1,12)+1,1),0),'📋 Movimentações'!$E$15:$E$514,"Saída",'📋 Movimentações'!$D$15:$D$514,"Luz"),0)</f>
        <v>0</v>
      </c>
      <c r="F27" s="29">
        <f>IFERROR(SUMIFS('📋 Movimentações'!$F$15:$F$514,'📋 Movimentações'!$B$15:$B$514,"&gt;="&amp;DATE(YEAR($D$200)+INT((MONTH($D$200)+2-1)/12),MOD(MONTH($D$200)+2-1,12)+1,1),'📋 Movimentações'!$B$15:$B$514,"&lt;="&amp;EOMONTH(DATE(YEAR($D$200)+INT((MONTH($D$200)+2-1)/12),MOD(MONTH($D$200)+2-1,12)+1,1),0),'📋 Movimentações'!$E$15:$E$514,"Saída",'📋 Movimentações'!$D$15:$D$514,"Luz"),0)</f>
        <v>0</v>
      </c>
      <c r="G27" s="29">
        <f>IFERROR(SUMIFS('📋 Movimentações'!$F$15:$F$514,'📋 Movimentações'!$B$15:$B$514,"&gt;="&amp;DATE(YEAR($D$200)+INT((MONTH($D$200)+3-1)/12),MOD(MONTH($D$200)+3-1,12)+1,1),'📋 Movimentações'!$B$15:$B$514,"&lt;="&amp;EOMONTH(DATE(YEAR($D$200)+INT((MONTH($D$200)+3-1)/12),MOD(MONTH($D$200)+3-1,12)+1,1),0),'📋 Movimentações'!$E$15:$E$514,"Saída",'📋 Movimentações'!$D$15:$D$514,"Luz"),0)</f>
        <v>0</v>
      </c>
      <c r="H27" s="29">
        <f>IFERROR(SUMIFS('📋 Movimentações'!$F$15:$F$514,'📋 Movimentações'!$B$15:$B$514,"&gt;="&amp;DATE(YEAR($D$200)+INT((MONTH($D$200)+4-1)/12),MOD(MONTH($D$200)+4-1,12)+1,1),'📋 Movimentações'!$B$15:$B$514,"&lt;="&amp;EOMONTH(DATE(YEAR($D$200)+INT((MONTH($D$200)+4-1)/12),MOD(MONTH($D$200)+4-1,12)+1,1),0),'📋 Movimentações'!$E$15:$E$514,"Saída",'📋 Movimentações'!$D$15:$D$514,"Luz"),0)</f>
        <v>0</v>
      </c>
      <c r="I27" s="29">
        <f>IFERROR(SUMIFS('📋 Movimentações'!$F$15:$F$514,'📋 Movimentações'!$B$15:$B$514,"&gt;="&amp;DATE(YEAR($D$200)+INT((MONTH($D$200)+5-1)/12),MOD(MONTH($D$200)+5-1,12)+1,1),'📋 Movimentações'!$B$15:$B$514,"&lt;="&amp;EOMONTH(DATE(YEAR($D$200)+INT((MONTH($D$200)+5-1)/12),MOD(MONTH($D$200)+5-1,12)+1,1),0),'📋 Movimentações'!$E$15:$E$514,"Saída",'📋 Movimentações'!$D$15:$D$514,"Luz"),0)</f>
        <v>0</v>
      </c>
      <c r="J27" s="30">
        <f>SUM(D27,E27,F27,G27,H27,I27)</f>
        <v>0</v>
      </c>
      <c r="K27" s="14"/>
    </row>
    <row r="28" spans="1:11" ht="19.5" customHeight="1">
      <c r="A28" s="10"/>
      <c r="B28" s="11" t="s">
        <v>19</v>
      </c>
      <c r="C28" s="12" t="s">
        <v>8</v>
      </c>
      <c r="D28" s="27">
        <f>'🏠 Gastos Fixos'!C7</f>
        <v>8581</v>
      </c>
      <c r="E28" s="27">
        <f>'🏠 Gastos Fixos'!C7</f>
        <v>8581</v>
      </c>
      <c r="F28" s="27">
        <f>'🏠 Gastos Fixos'!C7</f>
        <v>8581</v>
      </c>
      <c r="G28" s="27">
        <f>'🏠 Gastos Fixos'!C7</f>
        <v>8581</v>
      </c>
      <c r="H28" s="27">
        <f>'🏠 Gastos Fixos'!C7</f>
        <v>8581</v>
      </c>
      <c r="I28" s="27">
        <f>'🏠 Gastos Fixos'!C7</f>
        <v>8581</v>
      </c>
      <c r="J28" s="28">
        <f>'🏠 Gastos Fixos'!C7*6</f>
        <v>51486</v>
      </c>
      <c r="K28" s="10"/>
    </row>
    <row r="29" spans="1:11" ht="18" customHeight="1">
      <c r="A29" s="14"/>
      <c r="B29" s="15"/>
      <c r="C29" s="16" t="s">
        <v>9</v>
      </c>
      <c r="D29" s="29">
        <f>IFERROR(SUMIFS('📋 Movimentações'!$F$15:$F$514,'📋 Movimentações'!$B$15:$B$514,"&gt;="&amp;DATE(YEAR($D$200)+INT((MONTH($D$200)+0-1)/12),MOD(MONTH($D$200)+0-1,12)+1,1),'📋 Movimentações'!$B$15:$B$514,"&lt;="&amp;EOMONTH(DATE(YEAR($D$200)+INT((MONTH($D$200)+0-1)/12),MOD(MONTH($D$200)+0-1,12)+1,1),0),'📋 Movimentações'!$E$15:$E$514,"Saída",'📋 Movimentações'!$D$15:$D$514,"Água"),0)</f>
        <v>0</v>
      </c>
      <c r="E29" s="29">
        <f>IFERROR(SUMIFS('📋 Movimentações'!$F$15:$F$514,'📋 Movimentações'!$B$15:$B$514,"&gt;="&amp;DATE(YEAR($D$200)+INT((MONTH($D$200)+1-1)/12),MOD(MONTH($D$200)+1-1,12)+1,1),'📋 Movimentações'!$B$15:$B$514,"&lt;="&amp;EOMONTH(DATE(YEAR($D$200)+INT((MONTH($D$200)+1-1)/12),MOD(MONTH($D$200)+1-1,12)+1,1),0),'📋 Movimentações'!$E$15:$E$514,"Saída",'📋 Movimentações'!$D$15:$D$514,"Água"),0)</f>
        <v>0</v>
      </c>
      <c r="F29" s="29">
        <f>IFERROR(SUMIFS('📋 Movimentações'!$F$15:$F$514,'📋 Movimentações'!$B$15:$B$514,"&gt;="&amp;DATE(YEAR($D$200)+INT((MONTH($D$200)+2-1)/12),MOD(MONTH($D$200)+2-1,12)+1,1),'📋 Movimentações'!$B$15:$B$514,"&lt;="&amp;EOMONTH(DATE(YEAR($D$200)+INT((MONTH($D$200)+2-1)/12),MOD(MONTH($D$200)+2-1,12)+1,1),0),'📋 Movimentações'!$E$15:$E$514,"Saída",'📋 Movimentações'!$D$15:$D$514,"Água"),0)</f>
        <v>0</v>
      </c>
      <c r="G29" s="29">
        <f>IFERROR(SUMIFS('📋 Movimentações'!$F$15:$F$514,'📋 Movimentações'!$B$15:$B$514,"&gt;="&amp;DATE(YEAR($D$200)+INT((MONTH($D$200)+3-1)/12),MOD(MONTH($D$200)+3-1,12)+1,1),'📋 Movimentações'!$B$15:$B$514,"&lt;="&amp;EOMONTH(DATE(YEAR($D$200)+INT((MONTH($D$200)+3-1)/12),MOD(MONTH($D$200)+3-1,12)+1,1),0),'📋 Movimentações'!$E$15:$E$514,"Saída",'📋 Movimentações'!$D$15:$D$514,"Água"),0)</f>
        <v>0</v>
      </c>
      <c r="H29" s="29">
        <f>IFERROR(SUMIFS('📋 Movimentações'!$F$15:$F$514,'📋 Movimentações'!$B$15:$B$514,"&gt;="&amp;DATE(YEAR($D$200)+INT((MONTH($D$200)+4-1)/12),MOD(MONTH($D$200)+4-1,12)+1,1),'📋 Movimentações'!$B$15:$B$514,"&lt;="&amp;EOMONTH(DATE(YEAR($D$200)+INT((MONTH($D$200)+4-1)/12),MOD(MONTH($D$200)+4-1,12)+1,1),0),'📋 Movimentações'!$E$15:$E$514,"Saída",'📋 Movimentações'!$D$15:$D$514,"Água"),0)</f>
        <v>0</v>
      </c>
      <c r="I29" s="29">
        <f>IFERROR(SUMIFS('📋 Movimentações'!$F$15:$F$514,'📋 Movimentações'!$B$15:$B$514,"&gt;="&amp;DATE(YEAR($D$200)+INT((MONTH($D$200)+5-1)/12),MOD(MONTH($D$200)+5-1,12)+1,1),'📋 Movimentações'!$B$15:$B$514,"&lt;="&amp;EOMONTH(DATE(YEAR($D$200)+INT((MONTH($D$200)+5-1)/12),MOD(MONTH($D$200)+5-1,12)+1,1),0),'📋 Movimentações'!$E$15:$E$514,"Saída",'📋 Movimentações'!$D$15:$D$514,"Água"),0)</f>
        <v>0</v>
      </c>
      <c r="J29" s="30">
        <f>SUM(D29,E29,F29,G29,H29,I29)</f>
        <v>0</v>
      </c>
      <c r="K29" s="14"/>
    </row>
    <row r="30" spans="1:11" ht="19.5" customHeight="1">
      <c r="A30" s="10"/>
      <c r="B30" s="11" t="s">
        <v>20</v>
      </c>
      <c r="C30" s="12" t="s">
        <v>8</v>
      </c>
      <c r="D30" s="27">
        <f>'🏠 Gastos Fixos'!C8</f>
        <v>4800</v>
      </c>
      <c r="E30" s="27">
        <f>'🏠 Gastos Fixos'!C8</f>
        <v>4800</v>
      </c>
      <c r="F30" s="27">
        <f>'🏠 Gastos Fixos'!C8</f>
        <v>4800</v>
      </c>
      <c r="G30" s="27">
        <f>'🏠 Gastos Fixos'!C8</f>
        <v>4800</v>
      </c>
      <c r="H30" s="27">
        <f>'🏠 Gastos Fixos'!C8</f>
        <v>4800</v>
      </c>
      <c r="I30" s="27">
        <f>'🏠 Gastos Fixos'!C8</f>
        <v>4800</v>
      </c>
      <c r="J30" s="28">
        <f>'🏠 Gastos Fixos'!C8*6</f>
        <v>28800</v>
      </c>
      <c r="K30" s="10"/>
    </row>
    <row r="31" spans="1:11" ht="18" customHeight="1">
      <c r="A31" s="14"/>
      <c r="B31" s="15"/>
      <c r="C31" s="16" t="s">
        <v>9</v>
      </c>
      <c r="D31" s="29">
        <f>IFERROR(SUMIFS('📋 Movimentações'!$F$15:$F$514,'📋 Movimentações'!$B$15:$B$514,"&gt;="&amp;DATE(YEAR($D$200)+INT((MONTH($D$200)+0-1)/12),MOD(MONTH($D$200)+0-1,12)+1,1),'📋 Movimentações'!$B$15:$B$514,"&lt;="&amp;EOMONTH(DATE(YEAR($D$200)+INT((MONTH($D$200)+0-1)/12),MOD(MONTH($D$200)+0-1,12)+1,1),0),'📋 Movimentações'!$E$15:$E$514,"Saída",'📋 Movimentações'!$D$15:$D$514,"Gás"),0)</f>
        <v>0</v>
      </c>
      <c r="E31" s="29">
        <f>IFERROR(SUMIFS('📋 Movimentações'!$F$15:$F$514,'📋 Movimentações'!$B$15:$B$514,"&gt;="&amp;DATE(YEAR($D$200)+INT((MONTH($D$200)+1-1)/12),MOD(MONTH($D$200)+1-1,12)+1,1),'📋 Movimentações'!$B$15:$B$514,"&lt;="&amp;EOMONTH(DATE(YEAR($D$200)+INT((MONTH($D$200)+1-1)/12),MOD(MONTH($D$200)+1-1,12)+1,1),0),'📋 Movimentações'!$E$15:$E$514,"Saída",'📋 Movimentações'!$D$15:$D$514,"Gás"),0)</f>
        <v>0</v>
      </c>
      <c r="F31" s="29">
        <f>IFERROR(SUMIFS('📋 Movimentações'!$F$15:$F$514,'📋 Movimentações'!$B$15:$B$514,"&gt;="&amp;DATE(YEAR($D$200)+INT((MONTH($D$200)+2-1)/12),MOD(MONTH($D$200)+2-1,12)+1,1),'📋 Movimentações'!$B$15:$B$514,"&lt;="&amp;EOMONTH(DATE(YEAR($D$200)+INT((MONTH($D$200)+2-1)/12),MOD(MONTH($D$200)+2-1,12)+1,1),0),'📋 Movimentações'!$E$15:$E$514,"Saída",'📋 Movimentações'!$D$15:$D$514,"Gás"),0)</f>
        <v>0</v>
      </c>
      <c r="G31" s="29">
        <f>IFERROR(SUMIFS('📋 Movimentações'!$F$15:$F$514,'📋 Movimentações'!$B$15:$B$514,"&gt;="&amp;DATE(YEAR($D$200)+INT((MONTH($D$200)+3-1)/12),MOD(MONTH($D$200)+3-1,12)+1,1),'📋 Movimentações'!$B$15:$B$514,"&lt;="&amp;EOMONTH(DATE(YEAR($D$200)+INT((MONTH($D$200)+3-1)/12),MOD(MONTH($D$200)+3-1,12)+1,1),0),'📋 Movimentações'!$E$15:$E$514,"Saída",'📋 Movimentações'!$D$15:$D$514,"Gás"),0)</f>
        <v>0</v>
      </c>
      <c r="H31" s="29">
        <f>IFERROR(SUMIFS('📋 Movimentações'!$F$15:$F$514,'📋 Movimentações'!$B$15:$B$514,"&gt;="&amp;DATE(YEAR($D$200)+INT((MONTH($D$200)+4-1)/12),MOD(MONTH($D$200)+4-1,12)+1,1),'📋 Movimentações'!$B$15:$B$514,"&lt;="&amp;EOMONTH(DATE(YEAR($D$200)+INT((MONTH($D$200)+4-1)/12),MOD(MONTH($D$200)+4-1,12)+1,1),0),'📋 Movimentações'!$E$15:$E$514,"Saída",'📋 Movimentações'!$D$15:$D$514,"Gás"),0)</f>
        <v>0</v>
      </c>
      <c r="I31" s="29">
        <f>IFERROR(SUMIFS('📋 Movimentações'!$F$15:$F$514,'📋 Movimentações'!$B$15:$B$514,"&gt;="&amp;DATE(YEAR($D$200)+INT((MONTH($D$200)+5-1)/12),MOD(MONTH($D$200)+5-1,12)+1,1),'📋 Movimentações'!$B$15:$B$514,"&lt;="&amp;EOMONTH(DATE(YEAR($D$200)+INT((MONTH($D$200)+5-1)/12),MOD(MONTH($D$200)+5-1,12)+1,1),0),'📋 Movimentações'!$E$15:$E$514,"Saída",'📋 Movimentações'!$D$15:$D$514,"Gás"),0)</f>
        <v>0</v>
      </c>
      <c r="J31" s="30">
        <f>SUM(D31,E31,F31,G31,H31,I31)</f>
        <v>0</v>
      </c>
      <c r="K31" s="14"/>
    </row>
    <row r="32" spans="1:11" ht="19.5" customHeight="1">
      <c r="A32" s="10"/>
      <c r="B32" s="11" t="s">
        <v>21</v>
      </c>
      <c r="C32" s="12" t="s">
        <v>8</v>
      </c>
      <c r="D32" s="27">
        <f>'🏠 Gastos Fixos'!C9</f>
        <v>6000</v>
      </c>
      <c r="E32" s="27">
        <f>'🏠 Gastos Fixos'!C9</f>
        <v>6000</v>
      </c>
      <c r="F32" s="27">
        <f>'🏠 Gastos Fixos'!C9</f>
        <v>6000</v>
      </c>
      <c r="G32" s="27">
        <f>'🏠 Gastos Fixos'!C9</f>
        <v>6000</v>
      </c>
      <c r="H32" s="27">
        <f>'🏠 Gastos Fixos'!C9</f>
        <v>6000</v>
      </c>
      <c r="I32" s="27">
        <f>'🏠 Gastos Fixos'!C9</f>
        <v>6000</v>
      </c>
      <c r="J32" s="28">
        <f>'🏠 Gastos Fixos'!C9*6</f>
        <v>36000</v>
      </c>
      <c r="K32" s="10"/>
    </row>
    <row r="33" spans="1:11" ht="18" customHeight="1">
      <c r="A33" s="14"/>
      <c r="B33" s="15"/>
      <c r="C33" s="16" t="s">
        <v>9</v>
      </c>
      <c r="D33" s="29">
        <f>IFERROR(SUMIFS('📋 Movimentações'!$F$15:$F$514,'📋 Movimentações'!$B$15:$B$514,"&gt;="&amp;DATE(YEAR($D$200)+INT((MONTH($D$200)+0-1)/12),MOD(MONTH($D$200)+0-1,12)+1,1),'📋 Movimentações'!$B$15:$B$514,"&lt;="&amp;EOMONTH(DATE(YEAR($D$200)+INT((MONTH($D$200)+0-1)/12),MOD(MONTH($D$200)+0-1,12)+1,1),0),'📋 Movimentações'!$E$15:$E$514,"Saída",'📋 Movimentações'!$D$15:$D$514,"Internet"),0)</f>
        <v>0</v>
      </c>
      <c r="E33" s="29">
        <f>IFERROR(SUMIFS('📋 Movimentações'!$F$15:$F$514,'📋 Movimentações'!$B$15:$B$514,"&gt;="&amp;DATE(YEAR($D$200)+INT((MONTH($D$200)+1-1)/12),MOD(MONTH($D$200)+1-1,12)+1,1),'📋 Movimentações'!$B$15:$B$514,"&lt;="&amp;EOMONTH(DATE(YEAR($D$200)+INT((MONTH($D$200)+1-1)/12),MOD(MONTH($D$200)+1-1,12)+1,1),0),'📋 Movimentações'!$E$15:$E$514,"Saída",'📋 Movimentações'!$D$15:$D$514,"Internet"),0)</f>
        <v>0</v>
      </c>
      <c r="F33" s="29">
        <f>IFERROR(SUMIFS('📋 Movimentações'!$F$15:$F$514,'📋 Movimentações'!$B$15:$B$514,"&gt;="&amp;DATE(YEAR($D$200)+INT((MONTH($D$200)+2-1)/12),MOD(MONTH($D$200)+2-1,12)+1,1),'📋 Movimentações'!$B$15:$B$514,"&lt;="&amp;EOMONTH(DATE(YEAR($D$200)+INT((MONTH($D$200)+2-1)/12),MOD(MONTH($D$200)+2-1,12)+1,1),0),'📋 Movimentações'!$E$15:$E$514,"Saída",'📋 Movimentações'!$D$15:$D$514,"Internet"),0)</f>
        <v>0</v>
      </c>
      <c r="G33" s="29">
        <f>IFERROR(SUMIFS('📋 Movimentações'!$F$15:$F$514,'📋 Movimentações'!$B$15:$B$514,"&gt;="&amp;DATE(YEAR($D$200)+INT((MONTH($D$200)+3-1)/12),MOD(MONTH($D$200)+3-1,12)+1,1),'📋 Movimentações'!$B$15:$B$514,"&lt;="&amp;EOMONTH(DATE(YEAR($D$200)+INT((MONTH($D$200)+3-1)/12),MOD(MONTH($D$200)+3-1,12)+1,1),0),'📋 Movimentações'!$E$15:$E$514,"Saída",'📋 Movimentações'!$D$15:$D$514,"Internet"),0)</f>
        <v>0</v>
      </c>
      <c r="H33" s="29">
        <f>IFERROR(SUMIFS('📋 Movimentações'!$F$15:$F$514,'📋 Movimentações'!$B$15:$B$514,"&gt;="&amp;DATE(YEAR($D$200)+INT((MONTH($D$200)+4-1)/12),MOD(MONTH($D$200)+4-1,12)+1,1),'📋 Movimentações'!$B$15:$B$514,"&lt;="&amp;EOMONTH(DATE(YEAR($D$200)+INT((MONTH($D$200)+4-1)/12),MOD(MONTH($D$200)+4-1,12)+1,1),0),'📋 Movimentações'!$E$15:$E$514,"Saída",'📋 Movimentações'!$D$15:$D$514,"Internet"),0)</f>
        <v>0</v>
      </c>
      <c r="I33" s="29">
        <f>IFERROR(SUMIFS('📋 Movimentações'!$F$15:$F$514,'📋 Movimentações'!$B$15:$B$514,"&gt;="&amp;DATE(YEAR($D$200)+INT((MONTH($D$200)+5-1)/12),MOD(MONTH($D$200)+5-1,12)+1,1),'📋 Movimentações'!$B$15:$B$514,"&lt;="&amp;EOMONTH(DATE(YEAR($D$200)+INT((MONTH($D$200)+5-1)/12),MOD(MONTH($D$200)+5-1,12)+1,1),0),'📋 Movimentações'!$E$15:$E$514,"Saída",'📋 Movimentações'!$D$15:$D$514,"Internet"),0)</f>
        <v>0</v>
      </c>
      <c r="J33" s="30">
        <f>SUM(D33,E33,F33,G33,H33,I33)</f>
        <v>0</v>
      </c>
      <c r="K33" s="14"/>
    </row>
    <row r="34" spans="1:11" ht="19.5" customHeight="1">
      <c r="A34" s="10"/>
      <c r="B34" s="11" t="s">
        <v>22</v>
      </c>
      <c r="C34" s="12" t="s">
        <v>8</v>
      </c>
      <c r="D34" s="27">
        <f>'🏠 Gastos Fixos'!C10</f>
        <v>32412</v>
      </c>
      <c r="E34" s="27">
        <f>'🏠 Gastos Fixos'!C10</f>
        <v>32412</v>
      </c>
      <c r="F34" s="27">
        <f>'🏠 Gastos Fixos'!C10</f>
        <v>32412</v>
      </c>
      <c r="G34" s="27">
        <f>'🏠 Gastos Fixos'!C10</f>
        <v>32412</v>
      </c>
      <c r="H34" s="27">
        <f>'🏠 Gastos Fixos'!C10</f>
        <v>32412</v>
      </c>
      <c r="I34" s="27">
        <f>'🏠 Gastos Fixos'!C10</f>
        <v>32412</v>
      </c>
      <c r="J34" s="28">
        <f>'🏠 Gastos Fixos'!C10*6</f>
        <v>194472</v>
      </c>
      <c r="K34" s="10"/>
    </row>
    <row r="35" spans="1:11" ht="18" customHeight="1">
      <c r="A35" s="14"/>
      <c r="B35" s="15"/>
      <c r="C35" s="16" t="s">
        <v>9</v>
      </c>
      <c r="D35" s="29">
        <f>IFERROR(SUMIFS('📋 Movimentações'!$F$15:$F$514,'📋 Movimentações'!$B$15:$B$514,"&gt;="&amp;DATE(YEAR($D$200)+INT((MONTH($D$200)+0-1)/12),MOD(MONTH($D$200)+0-1,12)+1,1),'📋 Movimentações'!$B$15:$B$514,"&lt;="&amp;EOMONTH(DATE(YEAR($D$200)+INT((MONTH($D$200)+0-1)/12),MOD(MONTH($D$200)+0-1,12)+1,1),0),'📋 Movimentações'!$E$15:$E$514,"Saída",'📋 Movimentações'!$D$15:$D$514,"Celular"),0)</f>
        <v>32412</v>
      </c>
      <c r="E35" s="29">
        <f>IFERROR(SUMIFS('📋 Movimentações'!$F$15:$F$514,'📋 Movimentações'!$B$15:$B$514,"&gt;="&amp;DATE(YEAR($D$200)+INT((MONTH($D$200)+1-1)/12),MOD(MONTH($D$200)+1-1,12)+1,1),'📋 Movimentações'!$B$15:$B$514,"&lt;="&amp;EOMONTH(DATE(YEAR($D$200)+INT((MONTH($D$200)+1-1)/12),MOD(MONTH($D$200)+1-1,12)+1,1),0),'📋 Movimentações'!$E$15:$E$514,"Saída",'📋 Movimentações'!$D$15:$D$514,"Celular"),0)</f>
        <v>0</v>
      </c>
      <c r="F35" s="29">
        <f>IFERROR(SUMIFS('📋 Movimentações'!$F$15:$F$514,'📋 Movimentações'!$B$15:$B$514,"&gt;="&amp;DATE(YEAR($D$200)+INT((MONTH($D$200)+2-1)/12),MOD(MONTH($D$200)+2-1,12)+1,1),'📋 Movimentações'!$B$15:$B$514,"&lt;="&amp;EOMONTH(DATE(YEAR($D$200)+INT((MONTH($D$200)+2-1)/12),MOD(MONTH($D$200)+2-1,12)+1,1),0),'📋 Movimentações'!$E$15:$E$514,"Saída",'📋 Movimentações'!$D$15:$D$514,"Celular"),0)</f>
        <v>0</v>
      </c>
      <c r="G35" s="29">
        <f>IFERROR(SUMIFS('📋 Movimentações'!$F$15:$F$514,'📋 Movimentações'!$B$15:$B$514,"&gt;="&amp;DATE(YEAR($D$200)+INT((MONTH($D$200)+3-1)/12),MOD(MONTH($D$200)+3-1,12)+1,1),'📋 Movimentações'!$B$15:$B$514,"&lt;="&amp;EOMONTH(DATE(YEAR($D$200)+INT((MONTH($D$200)+3-1)/12),MOD(MONTH($D$200)+3-1,12)+1,1),0),'📋 Movimentações'!$E$15:$E$514,"Saída",'📋 Movimentações'!$D$15:$D$514,"Celular"),0)</f>
        <v>0</v>
      </c>
      <c r="H35" s="29">
        <f>IFERROR(SUMIFS('📋 Movimentações'!$F$15:$F$514,'📋 Movimentações'!$B$15:$B$514,"&gt;="&amp;DATE(YEAR($D$200)+INT((MONTH($D$200)+4-1)/12),MOD(MONTH($D$200)+4-1,12)+1,1),'📋 Movimentações'!$B$15:$B$514,"&lt;="&amp;EOMONTH(DATE(YEAR($D$200)+INT((MONTH($D$200)+4-1)/12),MOD(MONTH($D$200)+4-1,12)+1,1),0),'📋 Movimentações'!$E$15:$E$514,"Saída",'📋 Movimentações'!$D$15:$D$514,"Celular"),0)</f>
        <v>0</v>
      </c>
      <c r="I35" s="29">
        <f>IFERROR(SUMIFS('📋 Movimentações'!$F$15:$F$514,'📋 Movimentações'!$B$15:$B$514,"&gt;="&amp;DATE(YEAR($D$200)+INT((MONTH($D$200)+5-1)/12),MOD(MONTH($D$200)+5-1,12)+1,1),'📋 Movimentações'!$B$15:$B$514,"&lt;="&amp;EOMONTH(DATE(YEAR($D$200)+INT((MONTH($D$200)+5-1)/12),MOD(MONTH($D$200)+5-1,12)+1,1),0),'📋 Movimentações'!$E$15:$E$514,"Saída",'📋 Movimentações'!$D$15:$D$514,"Celular"),0)</f>
        <v>0</v>
      </c>
      <c r="J35" s="30">
        <f>SUM(D35,E35,F35,G35,H35,I35)</f>
        <v>32412</v>
      </c>
      <c r="K35" s="14"/>
    </row>
    <row r="36" spans="1:11" ht="19.5" customHeight="1">
      <c r="A36" s="10"/>
      <c r="B36" s="11" t="s">
        <v>23</v>
      </c>
      <c r="C36" s="12" t="s">
        <v>8</v>
      </c>
      <c r="D36" s="27">
        <f>'🏠 Gastos Fixos'!C11</f>
        <v>6000</v>
      </c>
      <c r="E36" s="27">
        <f>'🏠 Gastos Fixos'!C11</f>
        <v>6000</v>
      </c>
      <c r="F36" s="27">
        <f>'🏠 Gastos Fixos'!C11</f>
        <v>6000</v>
      </c>
      <c r="G36" s="27">
        <f>'🏠 Gastos Fixos'!C11</f>
        <v>6000</v>
      </c>
      <c r="H36" s="27">
        <f>'🏠 Gastos Fixos'!C11</f>
        <v>6000</v>
      </c>
      <c r="I36" s="27">
        <f>'🏠 Gastos Fixos'!C11</f>
        <v>6000</v>
      </c>
      <c r="J36" s="28">
        <f>'🏠 Gastos Fixos'!C11*6</f>
        <v>36000</v>
      </c>
      <c r="K36" s="10"/>
    </row>
    <row r="37" spans="1:11" ht="18" customHeight="1">
      <c r="A37" s="14"/>
      <c r="B37" s="15"/>
      <c r="C37" s="16" t="s">
        <v>9</v>
      </c>
      <c r="D37" s="29">
        <f>IFERROR(SUMIFS('📋 Movimentações'!$F$15:$F$514,'📋 Movimentações'!$B$15:$B$514,"&gt;="&amp;DATE(YEAR($D$200)+INT((MONTH($D$200)+0-1)/12),MOD(MONTH($D$200)+0-1,12)+1,1),'📋 Movimentações'!$B$15:$B$514,"&lt;="&amp;EOMONTH(DATE(YEAR($D$200)+INT((MONTH($D$200)+0-1)/12),MOD(MONTH($D$200)+0-1,12)+1,1),0),'📋 Movimentações'!$E$15:$E$514,"Saída",'📋 Movimentações'!$D$15:$D$514,"Academia"),0)</f>
        <v>6000</v>
      </c>
      <c r="E37" s="29">
        <f>IFERROR(SUMIFS('📋 Movimentações'!$F$15:$F$514,'📋 Movimentações'!$B$15:$B$514,"&gt;="&amp;DATE(YEAR($D$200)+INT((MONTH($D$200)+1-1)/12),MOD(MONTH($D$200)+1-1,12)+1,1),'📋 Movimentações'!$B$15:$B$514,"&lt;="&amp;EOMONTH(DATE(YEAR($D$200)+INT((MONTH($D$200)+1-1)/12),MOD(MONTH($D$200)+1-1,12)+1,1),0),'📋 Movimentações'!$E$15:$E$514,"Saída",'📋 Movimentações'!$D$15:$D$514,"Academia"),0)</f>
        <v>0</v>
      </c>
      <c r="F37" s="29">
        <f>IFERROR(SUMIFS('📋 Movimentações'!$F$15:$F$514,'📋 Movimentações'!$B$15:$B$514,"&gt;="&amp;DATE(YEAR($D$200)+INT((MONTH($D$200)+2-1)/12),MOD(MONTH($D$200)+2-1,12)+1,1),'📋 Movimentações'!$B$15:$B$514,"&lt;="&amp;EOMONTH(DATE(YEAR($D$200)+INT((MONTH($D$200)+2-1)/12),MOD(MONTH($D$200)+2-1,12)+1,1),0),'📋 Movimentações'!$E$15:$E$514,"Saída",'📋 Movimentações'!$D$15:$D$514,"Academia"),0)</f>
        <v>0</v>
      </c>
      <c r="G37" s="29">
        <f>IFERROR(SUMIFS('📋 Movimentações'!$F$15:$F$514,'📋 Movimentações'!$B$15:$B$514,"&gt;="&amp;DATE(YEAR($D$200)+INT((MONTH($D$200)+3-1)/12),MOD(MONTH($D$200)+3-1,12)+1,1),'📋 Movimentações'!$B$15:$B$514,"&lt;="&amp;EOMONTH(DATE(YEAR($D$200)+INT((MONTH($D$200)+3-1)/12),MOD(MONTH($D$200)+3-1,12)+1,1),0),'📋 Movimentações'!$E$15:$E$514,"Saída",'📋 Movimentações'!$D$15:$D$514,"Academia"),0)</f>
        <v>0</v>
      </c>
      <c r="H37" s="29">
        <f>IFERROR(SUMIFS('📋 Movimentações'!$F$15:$F$514,'📋 Movimentações'!$B$15:$B$514,"&gt;="&amp;DATE(YEAR($D$200)+INT((MONTH($D$200)+4-1)/12),MOD(MONTH($D$200)+4-1,12)+1,1),'📋 Movimentações'!$B$15:$B$514,"&lt;="&amp;EOMONTH(DATE(YEAR($D$200)+INT((MONTH($D$200)+4-1)/12),MOD(MONTH($D$200)+4-1,12)+1,1),0),'📋 Movimentações'!$E$15:$E$514,"Saída",'📋 Movimentações'!$D$15:$D$514,"Academia"),0)</f>
        <v>0</v>
      </c>
      <c r="I37" s="29">
        <f>IFERROR(SUMIFS('📋 Movimentações'!$F$15:$F$514,'📋 Movimentações'!$B$15:$B$514,"&gt;="&amp;DATE(YEAR($D$200)+INT((MONTH($D$200)+5-1)/12),MOD(MONTH($D$200)+5-1,12)+1,1),'📋 Movimentações'!$B$15:$B$514,"&lt;="&amp;EOMONTH(DATE(YEAR($D$200)+INT((MONTH($D$200)+5-1)/12),MOD(MONTH($D$200)+5-1,12)+1,1),0),'📋 Movimentações'!$E$15:$E$514,"Saída",'📋 Movimentações'!$D$15:$D$514,"Academia"),0)</f>
        <v>0</v>
      </c>
      <c r="J37" s="30">
        <f>SUM(D37,E37,F37,G37,H37,I37)</f>
        <v>6000</v>
      </c>
      <c r="K37" s="14"/>
    </row>
    <row r="38" spans="1:11" ht="19.5" customHeight="1">
      <c r="A38" s="10"/>
      <c r="B38" s="11" t="s">
        <v>24</v>
      </c>
      <c r="C38" s="12" t="s">
        <v>8</v>
      </c>
      <c r="D38" s="27">
        <f>'🏠 Gastos Fixos'!C12</f>
        <v>0</v>
      </c>
      <c r="E38" s="27">
        <f>'🏠 Gastos Fixos'!C12</f>
        <v>0</v>
      </c>
      <c r="F38" s="27">
        <f>'🏠 Gastos Fixos'!C12</f>
        <v>0</v>
      </c>
      <c r="G38" s="27">
        <f>'🏠 Gastos Fixos'!C12</f>
        <v>0</v>
      </c>
      <c r="H38" s="27">
        <f>'🏠 Gastos Fixos'!C12</f>
        <v>0</v>
      </c>
      <c r="I38" s="27">
        <f>'🏠 Gastos Fixos'!C12</f>
        <v>0</v>
      </c>
      <c r="J38" s="28">
        <f>'🏠 Gastos Fixos'!C12*6</f>
        <v>0</v>
      </c>
      <c r="K38" s="10"/>
    </row>
    <row r="39" spans="1:11" ht="18" customHeight="1">
      <c r="A39" s="14"/>
      <c r="B39" s="15"/>
      <c r="C39" s="16" t="s">
        <v>9</v>
      </c>
      <c r="D39" s="29">
        <f>IFERROR(SUMIFS('📋 Movimentações'!$F$15:$F$514,'📋 Movimentações'!$B$15:$B$514,"&gt;="&amp;DATE(YEAR($D$200)+INT((MONTH($D$200)+0-1)/12),MOD(MONTH($D$200)+0-1,12)+1,1),'📋 Movimentações'!$B$15:$B$514,"&lt;="&amp;EOMONTH(DATE(YEAR($D$200)+INT((MONTH($D$200)+0-1)/12),MOD(MONTH($D$200)+0-1,12)+1,1),0),'📋 Movimentações'!$E$15:$E$514,"Saída",'📋 Movimentações'!$D$15:$D$514,"Saúde"),0)</f>
        <v>0</v>
      </c>
      <c r="E39" s="29">
        <f>IFERROR(SUMIFS('📋 Movimentações'!$F$15:$F$514,'📋 Movimentações'!$B$15:$B$514,"&gt;="&amp;DATE(YEAR($D$200)+INT((MONTH($D$200)+1-1)/12),MOD(MONTH($D$200)+1-1,12)+1,1),'📋 Movimentações'!$B$15:$B$514,"&lt;="&amp;EOMONTH(DATE(YEAR($D$200)+INT((MONTH($D$200)+1-1)/12),MOD(MONTH($D$200)+1-1,12)+1,1),0),'📋 Movimentações'!$E$15:$E$514,"Saída",'📋 Movimentações'!$D$15:$D$514,"Saúde"),0)</f>
        <v>0</v>
      </c>
      <c r="F39" s="29">
        <f>IFERROR(SUMIFS('📋 Movimentações'!$F$15:$F$514,'📋 Movimentações'!$B$15:$B$514,"&gt;="&amp;DATE(YEAR($D$200)+INT((MONTH($D$200)+2-1)/12),MOD(MONTH($D$200)+2-1,12)+1,1),'📋 Movimentações'!$B$15:$B$514,"&lt;="&amp;EOMONTH(DATE(YEAR($D$200)+INT((MONTH($D$200)+2-1)/12),MOD(MONTH($D$200)+2-1,12)+1,1),0),'📋 Movimentações'!$E$15:$E$514,"Saída",'📋 Movimentações'!$D$15:$D$514,"Saúde"),0)</f>
        <v>0</v>
      </c>
      <c r="G39" s="29">
        <f>IFERROR(SUMIFS('📋 Movimentações'!$F$15:$F$514,'📋 Movimentações'!$B$15:$B$514,"&gt;="&amp;DATE(YEAR($D$200)+INT((MONTH($D$200)+3-1)/12),MOD(MONTH($D$200)+3-1,12)+1,1),'📋 Movimentações'!$B$15:$B$514,"&lt;="&amp;EOMONTH(DATE(YEAR($D$200)+INT((MONTH($D$200)+3-1)/12),MOD(MONTH($D$200)+3-1,12)+1,1),0),'📋 Movimentações'!$E$15:$E$514,"Saída",'📋 Movimentações'!$D$15:$D$514,"Saúde"),0)</f>
        <v>0</v>
      </c>
      <c r="H39" s="29">
        <f>IFERROR(SUMIFS('📋 Movimentações'!$F$15:$F$514,'📋 Movimentações'!$B$15:$B$514,"&gt;="&amp;DATE(YEAR($D$200)+INT((MONTH($D$200)+4-1)/12),MOD(MONTH($D$200)+4-1,12)+1,1),'📋 Movimentações'!$B$15:$B$514,"&lt;="&amp;EOMONTH(DATE(YEAR($D$200)+INT((MONTH($D$200)+4-1)/12),MOD(MONTH($D$200)+4-1,12)+1,1),0),'📋 Movimentações'!$E$15:$E$514,"Saída",'📋 Movimentações'!$D$15:$D$514,"Saúde"),0)</f>
        <v>0</v>
      </c>
      <c r="I39" s="29">
        <f>IFERROR(SUMIFS('📋 Movimentações'!$F$15:$F$514,'📋 Movimentações'!$B$15:$B$514,"&gt;="&amp;DATE(YEAR($D$200)+INT((MONTH($D$200)+5-1)/12),MOD(MONTH($D$200)+5-1,12)+1,1),'📋 Movimentações'!$B$15:$B$514,"&lt;="&amp;EOMONTH(DATE(YEAR($D$200)+INT((MONTH($D$200)+5-1)/12),MOD(MONTH($D$200)+5-1,12)+1,1),0),'📋 Movimentações'!$E$15:$E$514,"Saída",'📋 Movimentações'!$D$15:$D$514,"Saúde"),0)</f>
        <v>0</v>
      </c>
      <c r="J39" s="30">
        <f>SUM(D39,E39,F39,G39,H39,I39)</f>
        <v>0</v>
      </c>
      <c r="K39" s="14"/>
    </row>
    <row r="40" spans="1:11" ht="19.5" customHeight="1">
      <c r="A40" s="10"/>
      <c r="B40" s="11" t="s">
        <v>25</v>
      </c>
      <c r="C40" s="12" t="s">
        <v>8</v>
      </c>
      <c r="D40" s="27">
        <f>'🏠 Gastos Fixos'!C13</f>
        <v>16000</v>
      </c>
      <c r="E40" s="27">
        <f>'🏠 Gastos Fixos'!C13</f>
        <v>16000</v>
      </c>
      <c r="F40" s="27">
        <f>'🏠 Gastos Fixos'!C13</f>
        <v>16000</v>
      </c>
      <c r="G40" s="27">
        <f>'🏠 Gastos Fixos'!C13</f>
        <v>16000</v>
      </c>
      <c r="H40" s="27">
        <f>'🏠 Gastos Fixos'!C13</f>
        <v>16000</v>
      </c>
      <c r="I40" s="27">
        <f>'🏠 Gastos Fixos'!C13</f>
        <v>16000</v>
      </c>
      <c r="J40" s="28">
        <f>'🏠 Gastos Fixos'!C13*6</f>
        <v>96000</v>
      </c>
      <c r="K40" s="10"/>
    </row>
    <row r="41" spans="1:11" ht="18" customHeight="1">
      <c r="A41" s="14"/>
      <c r="B41" s="15"/>
      <c r="C41" s="16" t="s">
        <v>9</v>
      </c>
      <c r="D41" s="29">
        <f>IFERROR(SUMIFS('📋 Movimentações'!$F$15:$F$514,'📋 Movimentações'!$B$15:$B$514,"&gt;="&amp;DATE(YEAR($D$200)+INT((MONTH($D$200)+0-1)/12),MOD(MONTH($D$200)+0-1,12)+1,1),'📋 Movimentações'!$B$15:$B$514,"&lt;="&amp;EOMONTH(DATE(YEAR($D$200)+INT((MONTH($D$200)+0-1)/12),MOD(MONTH($D$200)+0-1,12)+1,1),0),'📋 Movimentações'!$E$15:$E$514,"Saída",'📋 Movimentações'!$D$15:$D$514,"Seguro do Carro"),0)</f>
        <v>0</v>
      </c>
      <c r="E41" s="29">
        <f>IFERROR(SUMIFS('📋 Movimentações'!$F$15:$F$514,'📋 Movimentações'!$B$15:$B$514,"&gt;="&amp;DATE(YEAR($D$200)+INT((MONTH($D$200)+1-1)/12),MOD(MONTH($D$200)+1-1,12)+1,1),'📋 Movimentações'!$B$15:$B$514,"&lt;="&amp;EOMONTH(DATE(YEAR($D$200)+INT((MONTH($D$200)+1-1)/12),MOD(MONTH($D$200)+1-1,12)+1,1),0),'📋 Movimentações'!$E$15:$E$514,"Saída",'📋 Movimentações'!$D$15:$D$514,"Seguro do Carro"),0)</f>
        <v>0</v>
      </c>
      <c r="F41" s="29">
        <f>IFERROR(SUMIFS('📋 Movimentações'!$F$15:$F$514,'📋 Movimentações'!$B$15:$B$514,"&gt;="&amp;DATE(YEAR($D$200)+INT((MONTH($D$200)+2-1)/12),MOD(MONTH($D$200)+2-1,12)+1,1),'📋 Movimentações'!$B$15:$B$514,"&lt;="&amp;EOMONTH(DATE(YEAR($D$200)+INT((MONTH($D$200)+2-1)/12),MOD(MONTH($D$200)+2-1,12)+1,1),0),'📋 Movimentações'!$E$15:$E$514,"Saída",'📋 Movimentações'!$D$15:$D$514,"Seguro do Carro"),0)</f>
        <v>0</v>
      </c>
      <c r="G41" s="29">
        <f>IFERROR(SUMIFS('📋 Movimentações'!$F$15:$F$514,'📋 Movimentações'!$B$15:$B$514,"&gt;="&amp;DATE(YEAR($D$200)+INT((MONTH($D$200)+3-1)/12),MOD(MONTH($D$200)+3-1,12)+1,1),'📋 Movimentações'!$B$15:$B$514,"&lt;="&amp;EOMONTH(DATE(YEAR($D$200)+INT((MONTH($D$200)+3-1)/12),MOD(MONTH($D$200)+3-1,12)+1,1),0),'📋 Movimentações'!$E$15:$E$514,"Saída",'📋 Movimentações'!$D$15:$D$514,"Seguro do Carro"),0)</f>
        <v>0</v>
      </c>
      <c r="H41" s="29">
        <f>IFERROR(SUMIFS('📋 Movimentações'!$F$15:$F$514,'📋 Movimentações'!$B$15:$B$514,"&gt;="&amp;DATE(YEAR($D$200)+INT((MONTH($D$200)+4-1)/12),MOD(MONTH($D$200)+4-1,12)+1,1),'📋 Movimentações'!$B$15:$B$514,"&lt;="&amp;EOMONTH(DATE(YEAR($D$200)+INT((MONTH($D$200)+4-1)/12),MOD(MONTH($D$200)+4-1,12)+1,1),0),'📋 Movimentações'!$E$15:$E$514,"Saída",'📋 Movimentações'!$D$15:$D$514,"Seguro do Carro"),0)</f>
        <v>0</v>
      </c>
      <c r="I41" s="29">
        <f>IFERROR(SUMIFS('📋 Movimentações'!$F$15:$F$514,'📋 Movimentações'!$B$15:$B$514,"&gt;="&amp;DATE(YEAR($D$200)+INT((MONTH($D$200)+5-1)/12),MOD(MONTH($D$200)+5-1,12)+1,1),'📋 Movimentações'!$B$15:$B$514,"&lt;="&amp;EOMONTH(DATE(YEAR($D$200)+INT((MONTH($D$200)+5-1)/12),MOD(MONTH($D$200)+5-1,12)+1,1),0),'📋 Movimentações'!$E$15:$E$514,"Saída",'📋 Movimentações'!$D$15:$D$514,"Seguro do Carro"),0)</f>
        <v>0</v>
      </c>
      <c r="J41" s="30">
        <f>SUM(D41,E41,F41,G41,H41,I41)</f>
        <v>0</v>
      </c>
      <c r="K41" s="14"/>
    </row>
    <row r="42" spans="1:11" ht="19.5" customHeight="1">
      <c r="A42" s="10"/>
      <c r="B42" s="11" t="s">
        <v>26</v>
      </c>
      <c r="C42" s="12" t="s">
        <v>8</v>
      </c>
      <c r="D42" s="27">
        <f>'🏠 Gastos Fixos'!C14</f>
        <v>1000</v>
      </c>
      <c r="E42" s="27">
        <f>'🏠 Gastos Fixos'!C14</f>
        <v>1000</v>
      </c>
      <c r="F42" s="27">
        <f>'🏠 Gastos Fixos'!C14</f>
        <v>1000</v>
      </c>
      <c r="G42" s="27">
        <f>'🏠 Gastos Fixos'!C14</f>
        <v>1000</v>
      </c>
      <c r="H42" s="27">
        <f>'🏠 Gastos Fixos'!C14</f>
        <v>1000</v>
      </c>
      <c r="I42" s="27">
        <f>'🏠 Gastos Fixos'!C14</f>
        <v>1000</v>
      </c>
      <c r="J42" s="28">
        <f>'🏠 Gastos Fixos'!C14*6</f>
        <v>6000</v>
      </c>
      <c r="K42" s="10"/>
    </row>
    <row r="43" spans="1:11" ht="18" customHeight="1">
      <c r="A43" s="14"/>
      <c r="B43" s="15"/>
      <c r="C43" s="16" t="s">
        <v>9</v>
      </c>
      <c r="D43" s="29">
        <f>IFERROR(SUMIFS('📋 Movimentações'!$F$15:$F$514,'📋 Movimentações'!$B$15:$B$514,"&gt;="&amp;DATE(YEAR($D$200)+INT((MONTH($D$200)+0-1)/12),MOD(MONTH($D$200)+0-1,12)+1,1),'📋 Movimentações'!$B$15:$B$514,"&lt;="&amp;EOMONTH(DATE(YEAR($D$200)+INT((MONTH($D$200)+0-1)/12),MOD(MONTH($D$200)+0-1,12)+1,1),0),'📋 Movimentações'!$E$15:$E$514,"Saída",'📋 Movimentações'!$D$15:$D$514,"Assinatura"),0)</f>
        <v>0</v>
      </c>
      <c r="E43" s="29">
        <f>IFERROR(SUMIFS('📋 Movimentações'!$F$15:$F$514,'📋 Movimentações'!$B$15:$B$514,"&gt;="&amp;DATE(YEAR($D$200)+INT((MONTH($D$200)+1-1)/12),MOD(MONTH($D$200)+1-1,12)+1,1),'📋 Movimentações'!$B$15:$B$514,"&lt;="&amp;EOMONTH(DATE(YEAR($D$200)+INT((MONTH($D$200)+1-1)/12),MOD(MONTH($D$200)+1-1,12)+1,1),0),'📋 Movimentações'!$E$15:$E$514,"Saída",'📋 Movimentações'!$D$15:$D$514,"Assinatura"),0)</f>
        <v>0</v>
      </c>
      <c r="F43" s="29">
        <f>IFERROR(SUMIFS('📋 Movimentações'!$F$15:$F$514,'📋 Movimentações'!$B$15:$B$514,"&gt;="&amp;DATE(YEAR($D$200)+INT((MONTH($D$200)+2-1)/12),MOD(MONTH($D$200)+2-1,12)+1,1),'📋 Movimentações'!$B$15:$B$514,"&lt;="&amp;EOMONTH(DATE(YEAR($D$200)+INT((MONTH($D$200)+2-1)/12),MOD(MONTH($D$200)+2-1,12)+1,1),0),'📋 Movimentações'!$E$15:$E$514,"Saída",'📋 Movimentações'!$D$15:$D$514,"Assinatura"),0)</f>
        <v>0</v>
      </c>
      <c r="G43" s="29">
        <f>IFERROR(SUMIFS('📋 Movimentações'!$F$15:$F$514,'📋 Movimentações'!$B$15:$B$514,"&gt;="&amp;DATE(YEAR($D$200)+INT((MONTH($D$200)+3-1)/12),MOD(MONTH($D$200)+3-1,12)+1,1),'📋 Movimentações'!$B$15:$B$514,"&lt;="&amp;EOMONTH(DATE(YEAR($D$200)+INT((MONTH($D$200)+3-1)/12),MOD(MONTH($D$200)+3-1,12)+1,1),0),'📋 Movimentações'!$E$15:$E$514,"Saída",'📋 Movimentações'!$D$15:$D$514,"Assinatura"),0)</f>
        <v>0</v>
      </c>
      <c r="H43" s="29">
        <f>IFERROR(SUMIFS('📋 Movimentações'!$F$15:$F$514,'📋 Movimentações'!$B$15:$B$514,"&gt;="&amp;DATE(YEAR($D$200)+INT((MONTH($D$200)+4-1)/12),MOD(MONTH($D$200)+4-1,12)+1,1),'📋 Movimentações'!$B$15:$B$514,"&lt;="&amp;EOMONTH(DATE(YEAR($D$200)+INT((MONTH($D$200)+4-1)/12),MOD(MONTH($D$200)+4-1,12)+1,1),0),'📋 Movimentações'!$E$15:$E$514,"Saída",'📋 Movimentações'!$D$15:$D$514,"Assinatura"),0)</f>
        <v>0</v>
      </c>
      <c r="I43" s="29">
        <f>IFERROR(SUMIFS('📋 Movimentações'!$F$15:$F$514,'📋 Movimentações'!$B$15:$B$514,"&gt;="&amp;DATE(YEAR($D$200)+INT((MONTH($D$200)+5-1)/12),MOD(MONTH($D$200)+5-1,12)+1,1),'📋 Movimentações'!$B$15:$B$514,"&lt;="&amp;EOMONTH(DATE(YEAR($D$200)+INT((MONTH($D$200)+5-1)/12),MOD(MONTH($D$200)+5-1,12)+1,1),0),'📋 Movimentações'!$E$15:$E$514,"Saída",'📋 Movimentações'!$D$15:$D$514,"Assinatura"),0)</f>
        <v>0</v>
      </c>
      <c r="J43" s="30">
        <f>SUM(D43,E43,F43,G43,H43,I43)</f>
        <v>0</v>
      </c>
      <c r="K43" s="14"/>
    </row>
    <row r="44" spans="1:11" ht="19.5" customHeight="1">
      <c r="A44" s="10"/>
      <c r="B44" s="11" t="s">
        <v>27</v>
      </c>
      <c r="C44" s="12" t="s">
        <v>8</v>
      </c>
      <c r="D44" s="27">
        <f>'🏠 Gastos Fixos'!C15</f>
        <v>0</v>
      </c>
      <c r="E44" s="27">
        <f>'🏠 Gastos Fixos'!C15</f>
        <v>0</v>
      </c>
      <c r="F44" s="27">
        <f>'🏠 Gastos Fixos'!C15</f>
        <v>0</v>
      </c>
      <c r="G44" s="27">
        <f>'🏠 Gastos Fixos'!C15</f>
        <v>0</v>
      </c>
      <c r="H44" s="27">
        <f>'🏠 Gastos Fixos'!C15</f>
        <v>0</v>
      </c>
      <c r="I44" s="27">
        <f>'🏠 Gastos Fixos'!C15</f>
        <v>0</v>
      </c>
      <c r="J44" s="28">
        <f>'🏠 Gastos Fixos'!C15*6</f>
        <v>0</v>
      </c>
      <c r="K44" s="10"/>
    </row>
    <row r="45" spans="1:11" ht="18" customHeight="1">
      <c r="A45" s="14"/>
      <c r="B45" s="15"/>
      <c r="C45" s="16" t="s">
        <v>9</v>
      </c>
      <c r="D45" s="29">
        <f>IFERROR(SUMIFS('📋 Movimentações'!$F$15:$F$514,'📋 Movimentações'!$B$15:$B$514,"&gt;="&amp;DATE(YEAR($D$200)+INT((MONTH($D$200)+0-1)/12),MOD(MONTH($D$200)+0-1,12)+1,1),'📋 Movimentações'!$B$15:$B$514,"&lt;="&amp;EOMONTH(DATE(YEAR($D$200)+INT((MONTH($D$200)+0-1)/12),MOD(MONTH($D$200)+0-1,12)+1,1),0),'📋 Movimentações'!$E$15:$E$514,"Saída",'📋 Movimentações'!$D$15:$D$514,"Assinatura"),0)</f>
        <v>0</v>
      </c>
      <c r="E45" s="29">
        <f>IFERROR(SUMIFS('📋 Movimentações'!$F$15:$F$514,'📋 Movimentações'!$B$15:$B$514,"&gt;="&amp;DATE(YEAR($D$200)+INT((MONTH($D$200)+1-1)/12),MOD(MONTH($D$200)+1-1,12)+1,1),'📋 Movimentações'!$B$15:$B$514,"&lt;="&amp;EOMONTH(DATE(YEAR($D$200)+INT((MONTH($D$200)+1-1)/12),MOD(MONTH($D$200)+1-1,12)+1,1),0),'📋 Movimentações'!$E$15:$E$514,"Saída",'📋 Movimentações'!$D$15:$D$514,"Assinatura"),0)</f>
        <v>0</v>
      </c>
      <c r="F45" s="29">
        <f>IFERROR(SUMIFS('📋 Movimentações'!$F$15:$F$514,'📋 Movimentações'!$B$15:$B$514,"&gt;="&amp;DATE(YEAR($D$200)+INT((MONTH($D$200)+2-1)/12),MOD(MONTH($D$200)+2-1,12)+1,1),'📋 Movimentações'!$B$15:$B$514,"&lt;="&amp;EOMONTH(DATE(YEAR($D$200)+INT((MONTH($D$200)+2-1)/12),MOD(MONTH($D$200)+2-1,12)+1,1),0),'📋 Movimentações'!$E$15:$E$514,"Saída",'📋 Movimentações'!$D$15:$D$514,"Assinatura"),0)</f>
        <v>0</v>
      </c>
      <c r="G45" s="29">
        <f>IFERROR(SUMIFS('📋 Movimentações'!$F$15:$F$514,'📋 Movimentações'!$B$15:$B$514,"&gt;="&amp;DATE(YEAR($D$200)+INT((MONTH($D$200)+3-1)/12),MOD(MONTH($D$200)+3-1,12)+1,1),'📋 Movimentações'!$B$15:$B$514,"&lt;="&amp;EOMONTH(DATE(YEAR($D$200)+INT((MONTH($D$200)+3-1)/12),MOD(MONTH($D$200)+3-1,12)+1,1),0),'📋 Movimentações'!$E$15:$E$514,"Saída",'📋 Movimentações'!$D$15:$D$514,"Assinatura"),0)</f>
        <v>0</v>
      </c>
      <c r="H45" s="29">
        <f>IFERROR(SUMIFS('📋 Movimentações'!$F$15:$F$514,'📋 Movimentações'!$B$15:$B$514,"&gt;="&amp;DATE(YEAR($D$200)+INT((MONTH($D$200)+4-1)/12),MOD(MONTH($D$200)+4-1,12)+1,1),'📋 Movimentações'!$B$15:$B$514,"&lt;="&amp;EOMONTH(DATE(YEAR($D$200)+INT((MONTH($D$200)+4-1)/12),MOD(MONTH($D$200)+4-1,12)+1,1),0),'📋 Movimentações'!$E$15:$E$514,"Saída",'📋 Movimentações'!$D$15:$D$514,"Assinatura"),0)</f>
        <v>0</v>
      </c>
      <c r="I45" s="29">
        <f>IFERROR(SUMIFS('📋 Movimentações'!$F$15:$F$514,'📋 Movimentações'!$B$15:$B$514,"&gt;="&amp;DATE(YEAR($D$200)+INT((MONTH($D$200)+5-1)/12),MOD(MONTH($D$200)+5-1,12)+1,1),'📋 Movimentações'!$B$15:$B$514,"&lt;="&amp;EOMONTH(DATE(YEAR($D$200)+INT((MONTH($D$200)+5-1)/12),MOD(MONTH($D$200)+5-1,12)+1,1),0),'📋 Movimentações'!$E$15:$E$514,"Saída",'📋 Movimentações'!$D$15:$D$514,"Assinatura"),0)</f>
        <v>0</v>
      </c>
      <c r="J45" s="30">
        <f>SUM(D45,E45,F45,G45,H45,I45)</f>
        <v>0</v>
      </c>
      <c r="K45" s="14"/>
    </row>
    <row r="46" spans="1:11" ht="19.5" customHeight="1">
      <c r="A46" s="10"/>
      <c r="B46" s="11" t="s">
        <v>28</v>
      </c>
      <c r="C46" s="12" t="s">
        <v>8</v>
      </c>
      <c r="D46" s="27">
        <f>'🏠 Gastos Fixos'!C16</f>
        <v>8000</v>
      </c>
      <c r="E46" s="27">
        <f>'🏠 Gastos Fixos'!C16</f>
        <v>8000</v>
      </c>
      <c r="F46" s="27">
        <f>'🏠 Gastos Fixos'!C16</f>
        <v>8000</v>
      </c>
      <c r="G46" s="27">
        <f>'🏠 Gastos Fixos'!C16</f>
        <v>8000</v>
      </c>
      <c r="H46" s="27">
        <f>'🏠 Gastos Fixos'!C16</f>
        <v>8000</v>
      </c>
      <c r="I46" s="27">
        <f>'🏠 Gastos Fixos'!C16</f>
        <v>8000</v>
      </c>
      <c r="J46" s="28">
        <f>'🏠 Gastos Fixos'!C16*6</f>
        <v>48000</v>
      </c>
      <c r="K46" s="10"/>
    </row>
    <row r="47" spans="1:11" ht="18" customHeight="1">
      <c r="A47" s="14"/>
      <c r="B47" s="15"/>
      <c r="C47" s="16" t="s">
        <v>9</v>
      </c>
      <c r="D47" s="29">
        <f>IFERROR(SUMIFS('📋 Movimentações'!$F$15:$F$514,'📋 Movimentações'!$B$15:$B$514,"&gt;="&amp;DATE(YEAR($D$200)+INT((MONTH($D$200)+0-1)/12),MOD(MONTH($D$200)+0-1,12)+1,1),'📋 Movimentações'!$B$15:$B$514,"&lt;="&amp;EOMONTH(DATE(YEAR($D$200)+INT((MONTH($D$200)+0-1)/12),MOD(MONTH($D$200)+0-1,12)+1,1),0),'📋 Movimentações'!$E$15:$E$514,"Saída",'📋 Movimentações'!$D$15:$D$514,"Escola/Creche"),0)</f>
        <v>0</v>
      </c>
      <c r="E47" s="29">
        <f>IFERROR(SUMIFS('📋 Movimentações'!$F$15:$F$514,'📋 Movimentações'!$B$15:$B$514,"&gt;="&amp;DATE(YEAR($D$200)+INT((MONTH($D$200)+1-1)/12),MOD(MONTH($D$200)+1-1,12)+1,1),'📋 Movimentações'!$B$15:$B$514,"&lt;="&amp;EOMONTH(DATE(YEAR($D$200)+INT((MONTH($D$200)+1-1)/12),MOD(MONTH($D$200)+1-1,12)+1,1),0),'📋 Movimentações'!$E$15:$E$514,"Saída",'📋 Movimentações'!$D$15:$D$514,"Escola/Creche"),0)</f>
        <v>0</v>
      </c>
      <c r="F47" s="29">
        <f>IFERROR(SUMIFS('📋 Movimentações'!$F$15:$F$514,'📋 Movimentações'!$B$15:$B$514,"&gt;="&amp;DATE(YEAR($D$200)+INT((MONTH($D$200)+2-1)/12),MOD(MONTH($D$200)+2-1,12)+1,1),'📋 Movimentações'!$B$15:$B$514,"&lt;="&amp;EOMONTH(DATE(YEAR($D$200)+INT((MONTH($D$200)+2-1)/12),MOD(MONTH($D$200)+2-1,12)+1,1),0),'📋 Movimentações'!$E$15:$E$514,"Saída",'📋 Movimentações'!$D$15:$D$514,"Escola/Creche"),0)</f>
        <v>0</v>
      </c>
      <c r="G47" s="29">
        <f>IFERROR(SUMIFS('📋 Movimentações'!$F$15:$F$514,'📋 Movimentações'!$B$15:$B$514,"&gt;="&amp;DATE(YEAR($D$200)+INT((MONTH($D$200)+3-1)/12),MOD(MONTH($D$200)+3-1,12)+1,1),'📋 Movimentações'!$B$15:$B$514,"&lt;="&amp;EOMONTH(DATE(YEAR($D$200)+INT((MONTH($D$200)+3-1)/12),MOD(MONTH($D$200)+3-1,12)+1,1),0),'📋 Movimentações'!$E$15:$E$514,"Saída",'📋 Movimentações'!$D$15:$D$514,"Escola/Creche"),0)</f>
        <v>0</v>
      </c>
      <c r="H47" s="29">
        <f>IFERROR(SUMIFS('📋 Movimentações'!$F$15:$F$514,'📋 Movimentações'!$B$15:$B$514,"&gt;="&amp;DATE(YEAR($D$200)+INT((MONTH($D$200)+4-1)/12),MOD(MONTH($D$200)+4-1,12)+1,1),'📋 Movimentações'!$B$15:$B$514,"&lt;="&amp;EOMONTH(DATE(YEAR($D$200)+INT((MONTH($D$200)+4-1)/12),MOD(MONTH($D$200)+4-1,12)+1,1),0),'📋 Movimentações'!$E$15:$E$514,"Saída",'📋 Movimentações'!$D$15:$D$514,"Escola/Creche"),0)</f>
        <v>0</v>
      </c>
      <c r="I47" s="29">
        <f>IFERROR(SUMIFS('📋 Movimentações'!$F$15:$F$514,'📋 Movimentações'!$B$15:$B$514,"&gt;="&amp;DATE(YEAR($D$200)+INT((MONTH($D$200)+5-1)/12),MOD(MONTH($D$200)+5-1,12)+1,1),'📋 Movimentações'!$B$15:$B$514,"&lt;="&amp;EOMONTH(DATE(YEAR($D$200)+INT((MONTH($D$200)+5-1)/12),MOD(MONTH($D$200)+5-1,12)+1,1),0),'📋 Movimentações'!$E$15:$E$514,"Saída",'📋 Movimentações'!$D$15:$D$514,"Escola/Creche"),0)</f>
        <v>0</v>
      </c>
      <c r="J47" s="30">
        <f>SUM(D47,E47,F47,G47,H47,I47)</f>
        <v>0</v>
      </c>
      <c r="K47" s="14"/>
    </row>
    <row r="48" spans="1:11" ht="19.5" customHeight="1">
      <c r="A48" s="10"/>
      <c r="B48" s="11" t="s">
        <v>29</v>
      </c>
      <c r="C48" s="12" t="s">
        <v>8</v>
      </c>
      <c r="D48" s="27">
        <f>'🏠 Gastos Fixos'!C17</f>
        <v>43160</v>
      </c>
      <c r="E48" s="27">
        <f>'🏠 Gastos Fixos'!C17</f>
        <v>43160</v>
      </c>
      <c r="F48" s="27">
        <f>'🏠 Gastos Fixos'!C17</f>
        <v>43160</v>
      </c>
      <c r="G48" s="27">
        <f>'🏠 Gastos Fixos'!C17</f>
        <v>43160</v>
      </c>
      <c r="H48" s="27">
        <f>'🏠 Gastos Fixos'!C17</f>
        <v>43160</v>
      </c>
      <c r="I48" s="27">
        <f>'🏠 Gastos Fixos'!C17</f>
        <v>43160</v>
      </c>
      <c r="J48" s="28">
        <f>'🏠 Gastos Fixos'!C17*6</f>
        <v>258960</v>
      </c>
      <c r="K48" s="10"/>
    </row>
    <row r="49" spans="1:11" ht="18" customHeight="1">
      <c r="A49" s="14"/>
      <c r="B49" s="15"/>
      <c r="C49" s="16" t="s">
        <v>9</v>
      </c>
      <c r="D49" s="29">
        <f>IFERROR(SUMIFS('📋 Movimentações'!$F$15:$F$514,'📋 Movimentações'!$B$15:$B$514,"&gt;="&amp;DATE(YEAR($D$200)+INT((MONTH($D$200)+0-1)/12),MOD(MONTH($D$200)+0-1,12)+1,1),'📋 Movimentações'!$B$15:$B$514,"&lt;="&amp;EOMONTH(DATE(YEAR($D$200)+INT((MONTH($D$200)+0-1)/12),MOD(MONTH($D$200)+0-1,12)+1,1),0),'📋 Movimentações'!$E$15:$E$514,"Saída",'📋 Movimentações'!$D$15:$D$514,"Outros"),0)</f>
        <v>0</v>
      </c>
      <c r="E49" s="29">
        <f>IFERROR(SUMIFS('📋 Movimentações'!$F$15:$F$514,'📋 Movimentações'!$B$15:$B$514,"&gt;="&amp;DATE(YEAR($D$200)+INT((MONTH($D$200)+1-1)/12),MOD(MONTH($D$200)+1-1,12)+1,1),'📋 Movimentações'!$B$15:$B$514,"&lt;="&amp;EOMONTH(DATE(YEAR($D$200)+INT((MONTH($D$200)+1-1)/12),MOD(MONTH($D$200)+1-1,12)+1,1),0),'📋 Movimentações'!$E$15:$E$514,"Saída",'📋 Movimentações'!$D$15:$D$514,"Outros"),0)</f>
        <v>0</v>
      </c>
      <c r="F49" s="29">
        <f>IFERROR(SUMIFS('📋 Movimentações'!$F$15:$F$514,'📋 Movimentações'!$B$15:$B$514,"&gt;="&amp;DATE(YEAR($D$200)+INT((MONTH($D$200)+2-1)/12),MOD(MONTH($D$200)+2-1,12)+1,1),'📋 Movimentações'!$B$15:$B$514,"&lt;="&amp;EOMONTH(DATE(YEAR($D$200)+INT((MONTH($D$200)+2-1)/12),MOD(MONTH($D$200)+2-1,12)+1,1),0),'📋 Movimentações'!$E$15:$E$514,"Saída",'📋 Movimentações'!$D$15:$D$514,"Outros"),0)</f>
        <v>0</v>
      </c>
      <c r="G49" s="29">
        <f>IFERROR(SUMIFS('📋 Movimentações'!$F$15:$F$514,'📋 Movimentações'!$B$15:$B$514,"&gt;="&amp;DATE(YEAR($D$200)+INT((MONTH($D$200)+3-1)/12),MOD(MONTH($D$200)+3-1,12)+1,1),'📋 Movimentações'!$B$15:$B$514,"&lt;="&amp;EOMONTH(DATE(YEAR($D$200)+INT((MONTH($D$200)+3-1)/12),MOD(MONTH($D$200)+3-1,12)+1,1),0),'📋 Movimentações'!$E$15:$E$514,"Saída",'📋 Movimentações'!$D$15:$D$514,"Outros"),0)</f>
        <v>0</v>
      </c>
      <c r="H49" s="29">
        <f>IFERROR(SUMIFS('📋 Movimentações'!$F$15:$F$514,'📋 Movimentações'!$B$15:$B$514,"&gt;="&amp;DATE(YEAR($D$200)+INT((MONTH($D$200)+4-1)/12),MOD(MONTH($D$200)+4-1,12)+1,1),'📋 Movimentações'!$B$15:$B$514,"&lt;="&amp;EOMONTH(DATE(YEAR($D$200)+INT((MONTH($D$200)+4-1)/12),MOD(MONTH($D$200)+4-1,12)+1,1),0),'📋 Movimentações'!$E$15:$E$514,"Saída",'📋 Movimentações'!$D$15:$D$514,"Outros"),0)</f>
        <v>0</v>
      </c>
      <c r="I49" s="29">
        <f>IFERROR(SUMIFS('📋 Movimentações'!$F$15:$F$514,'📋 Movimentações'!$B$15:$B$514,"&gt;="&amp;DATE(YEAR($D$200)+INT((MONTH($D$200)+5-1)/12),MOD(MONTH($D$200)+5-1,12)+1,1),'📋 Movimentações'!$B$15:$B$514,"&lt;="&amp;EOMONTH(DATE(YEAR($D$200)+INT((MONTH($D$200)+5-1)/12),MOD(MONTH($D$200)+5-1,12)+1,1),0),'📋 Movimentações'!$E$15:$E$514,"Saída",'📋 Movimentações'!$D$15:$D$514,"Outros"),0)</f>
        <v>0</v>
      </c>
      <c r="J49" s="30">
        <f>SUM(D49,E49,F49,G49,H49,I49)</f>
        <v>0</v>
      </c>
      <c r="K49" s="14"/>
    </row>
    <row r="50" spans="1:11" ht="19.5" customHeight="1">
      <c r="A50" s="10"/>
      <c r="B50" s="11" t="s">
        <v>30</v>
      </c>
      <c r="C50" s="12" t="s">
        <v>8</v>
      </c>
      <c r="D50" s="27">
        <f>'🏠 Gastos Fixos'!C18</f>
        <v>7000</v>
      </c>
      <c r="E50" s="27">
        <f>'🏠 Gastos Fixos'!C18</f>
        <v>7000</v>
      </c>
      <c r="F50" s="27">
        <f>'🏠 Gastos Fixos'!C18</f>
        <v>7000</v>
      </c>
      <c r="G50" s="27">
        <f>'🏠 Gastos Fixos'!C18</f>
        <v>7000</v>
      </c>
      <c r="H50" s="27">
        <f>'🏠 Gastos Fixos'!C18</f>
        <v>7000</v>
      </c>
      <c r="I50" s="27">
        <f>'🏠 Gastos Fixos'!C18</f>
        <v>7000</v>
      </c>
      <c r="J50" s="28">
        <f>'🏠 Gastos Fixos'!C18*6</f>
        <v>42000</v>
      </c>
      <c r="K50" s="10"/>
    </row>
    <row r="51" spans="1:11" ht="18" customHeight="1">
      <c r="A51" s="14"/>
      <c r="B51" s="15"/>
      <c r="C51" s="16" t="s">
        <v>9</v>
      </c>
      <c r="D51" s="29">
        <f>IFERROR(SUMIFS('📋 Movimentações'!$F$15:$F$514,'📋 Movimentações'!$B$15:$B$514,"&gt;="&amp;DATE(YEAR($D$200)+INT((MONTH($D$200)+0-1)/12),MOD(MONTH($D$200)+0-1,12)+1,1),'📋 Movimentações'!$B$15:$B$514,"&lt;="&amp;EOMONTH(DATE(YEAR($D$200)+INT((MONTH($D$200)+0-1)/12),MOD(MONTH($D$200)+0-1,12)+1,1),0),'📋 Movimentações'!$E$15:$E$514,"Saída",'📋 Movimentações'!$D$15:$D$514,"Outros"),0)</f>
        <v>0</v>
      </c>
      <c r="E51" s="29">
        <f>IFERROR(SUMIFS('📋 Movimentações'!$F$15:$F$514,'📋 Movimentações'!$B$15:$B$514,"&gt;="&amp;DATE(YEAR($D$200)+INT((MONTH($D$200)+1-1)/12),MOD(MONTH($D$200)+1-1,12)+1,1),'📋 Movimentações'!$B$15:$B$514,"&lt;="&amp;EOMONTH(DATE(YEAR($D$200)+INT((MONTH($D$200)+1-1)/12),MOD(MONTH($D$200)+1-1,12)+1,1),0),'📋 Movimentações'!$E$15:$E$514,"Saída",'📋 Movimentações'!$D$15:$D$514,"Outros"),0)</f>
        <v>0</v>
      </c>
      <c r="F51" s="29">
        <f>IFERROR(SUMIFS('📋 Movimentações'!$F$15:$F$514,'📋 Movimentações'!$B$15:$B$514,"&gt;="&amp;DATE(YEAR($D$200)+INT((MONTH($D$200)+2-1)/12),MOD(MONTH($D$200)+2-1,12)+1,1),'📋 Movimentações'!$B$15:$B$514,"&lt;="&amp;EOMONTH(DATE(YEAR($D$200)+INT((MONTH($D$200)+2-1)/12),MOD(MONTH($D$200)+2-1,12)+1,1),0),'📋 Movimentações'!$E$15:$E$514,"Saída",'📋 Movimentações'!$D$15:$D$514,"Outros"),0)</f>
        <v>0</v>
      </c>
      <c r="G51" s="29">
        <f>IFERROR(SUMIFS('📋 Movimentações'!$F$15:$F$514,'📋 Movimentações'!$B$15:$B$514,"&gt;="&amp;DATE(YEAR($D$200)+INT((MONTH($D$200)+3-1)/12),MOD(MONTH($D$200)+3-1,12)+1,1),'📋 Movimentações'!$B$15:$B$514,"&lt;="&amp;EOMONTH(DATE(YEAR($D$200)+INT((MONTH($D$200)+3-1)/12),MOD(MONTH($D$200)+3-1,12)+1,1),0),'📋 Movimentações'!$E$15:$E$514,"Saída",'📋 Movimentações'!$D$15:$D$514,"Outros"),0)</f>
        <v>0</v>
      </c>
      <c r="H51" s="29">
        <f>IFERROR(SUMIFS('📋 Movimentações'!$F$15:$F$514,'📋 Movimentações'!$B$15:$B$514,"&gt;="&amp;DATE(YEAR($D$200)+INT((MONTH($D$200)+4-1)/12),MOD(MONTH($D$200)+4-1,12)+1,1),'📋 Movimentações'!$B$15:$B$514,"&lt;="&amp;EOMONTH(DATE(YEAR($D$200)+INT((MONTH($D$200)+4-1)/12),MOD(MONTH($D$200)+4-1,12)+1,1),0),'📋 Movimentações'!$E$15:$E$514,"Saída",'📋 Movimentações'!$D$15:$D$514,"Outros"),0)</f>
        <v>0</v>
      </c>
      <c r="I51" s="29">
        <f>IFERROR(SUMIFS('📋 Movimentações'!$F$15:$F$514,'📋 Movimentações'!$B$15:$B$514,"&gt;="&amp;DATE(YEAR($D$200)+INT((MONTH($D$200)+5-1)/12),MOD(MONTH($D$200)+5-1,12)+1,1),'📋 Movimentações'!$B$15:$B$514,"&lt;="&amp;EOMONTH(DATE(YEAR($D$200)+INT((MONTH($D$200)+5-1)/12),MOD(MONTH($D$200)+5-1,12)+1,1),0),'📋 Movimentações'!$E$15:$E$514,"Saída",'📋 Movimentações'!$D$15:$D$514,"Outros"),0)</f>
        <v>0</v>
      </c>
      <c r="J51" s="30">
        <f>SUM(D51,E51,F51,G51,H51,I51)</f>
        <v>0</v>
      </c>
      <c r="K51" s="14"/>
    </row>
    <row r="52" spans="1:11" ht="24" customHeight="1">
      <c r="A52" s="4"/>
      <c r="B52" s="31" t="s">
        <v>31</v>
      </c>
      <c r="C52" s="32" t="s">
        <v>15</v>
      </c>
      <c r="D52" s="33">
        <f t="shared" ref="D52:I53" si="2">D24+D26+D28+D30+D32+D34+D36+D38+D40+D42+D44+D46+D48+D50</f>
        <v>163053</v>
      </c>
      <c r="E52" s="33">
        <f t="shared" si="2"/>
        <v>163053</v>
      </c>
      <c r="F52" s="33">
        <f t="shared" si="2"/>
        <v>163053</v>
      </c>
      <c r="G52" s="33">
        <f t="shared" si="2"/>
        <v>163053</v>
      </c>
      <c r="H52" s="33">
        <f t="shared" si="2"/>
        <v>163053</v>
      </c>
      <c r="I52" s="33">
        <f t="shared" si="2"/>
        <v>163053</v>
      </c>
      <c r="J52" s="33">
        <f>SUM(D52:I52)</f>
        <v>978318</v>
      </c>
      <c r="K52" s="4"/>
    </row>
    <row r="53" spans="1:11" ht="21.75" customHeight="1">
      <c r="A53" s="4"/>
      <c r="B53" s="22"/>
      <c r="C53" s="23" t="s">
        <v>9</v>
      </c>
      <c r="D53" s="24">
        <f t="shared" si="2"/>
        <v>68412</v>
      </c>
      <c r="E53" s="24">
        <f t="shared" si="2"/>
        <v>0</v>
      </c>
      <c r="F53" s="24">
        <f t="shared" si="2"/>
        <v>0</v>
      </c>
      <c r="G53" s="24">
        <f t="shared" si="2"/>
        <v>0</v>
      </c>
      <c r="H53" s="24">
        <f t="shared" si="2"/>
        <v>0</v>
      </c>
      <c r="I53" s="24">
        <f t="shared" si="2"/>
        <v>0</v>
      </c>
      <c r="J53" s="24">
        <f>SUM(D53:I53)</f>
        <v>68412</v>
      </c>
      <c r="K53" s="4"/>
    </row>
    <row r="54" spans="1:11" ht="7.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1" ht="3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</row>
    <row r="56" spans="1:11" ht="21.75" customHeight="1">
      <c r="A56" s="4"/>
      <c r="B56" s="205" t="s">
        <v>32</v>
      </c>
      <c r="C56" s="205"/>
      <c r="D56" s="205"/>
      <c r="E56" s="205"/>
      <c r="F56" s="205"/>
      <c r="G56" s="205"/>
      <c r="H56" s="205"/>
      <c r="I56" s="205"/>
      <c r="J56" s="205"/>
      <c r="K56" s="205"/>
    </row>
    <row r="57" spans="1:11" ht="21.75" customHeight="1">
      <c r="A57" s="10"/>
      <c r="B57" s="11" t="s">
        <v>33</v>
      </c>
      <c r="C57" s="12" t="s">
        <v>8</v>
      </c>
      <c r="D57" s="35">
        <v>0</v>
      </c>
      <c r="E57" s="35">
        <v>0</v>
      </c>
      <c r="F57" s="35">
        <v>0</v>
      </c>
      <c r="G57" s="35">
        <v>0</v>
      </c>
      <c r="H57" s="35">
        <v>0</v>
      </c>
      <c r="I57" s="35">
        <v>0</v>
      </c>
      <c r="J57" s="35">
        <f t="shared" ref="J57:J76" si="3">SUM(D57,E57,F57,G57,H57,I57)</f>
        <v>0</v>
      </c>
      <c r="K57" s="10"/>
    </row>
    <row r="58" spans="1:11" ht="19.5" customHeight="1">
      <c r="A58" s="14"/>
      <c r="B58" s="15"/>
      <c r="C58" s="16" t="s">
        <v>9</v>
      </c>
      <c r="D58" s="36">
        <f>IFERROR(SUMIFS('📋 Movimentações'!$F$15:$F$514,'📋 Movimentações'!$B$15:$B$514,"&gt;="&amp;DATE(YEAR($D$200)+INT((MONTH($D$200)+0-1)/12),MOD(MONTH($D$200)+0-1,12)+1,1),'📋 Movimentações'!$B$15:$B$514,"&lt;="&amp;EOMONTH(DATE(YEAR($D$200)+INT((MONTH($D$200)+0-1)/12),MOD(MONTH($D$200)+0-1,12)+1,1),0),'📋 Movimentações'!$E$15:$E$514,"Saída",'📋 Movimentações'!$D$15:$D$514,"Mercado")+SUMIFS('📋 Movimentações'!$F$15:$F$514,'📋 Movimentações'!$B$15:$B$514,"&gt;="&amp;DATE(YEAR($D$200)+INT((MONTH($D$200)+0-1)/12),MOD(MONTH($D$200)+0-1,12)+1,1),'📋 Movimentações'!$B$15:$B$514,"&lt;="&amp;EOMONTH(DATE(YEAR($D$200)+INT((MONTH($D$200)+0-1)/12),MOD(MONTH($D$200)+0-1,12)+1,1),0),'📋 Movimentações'!$E$15:$E$514,"Saída",'📋 Movimentações'!$D$15:$D$514,"Konbini"),0)</f>
        <v>0</v>
      </c>
      <c r="E58" s="36">
        <f>IFERROR(SUMIFS('📋 Movimentações'!$F$15:$F$514,'📋 Movimentações'!$B$15:$B$514,"&gt;="&amp;DATE(YEAR($D$200)+INT((MONTH($D$200)+1-1)/12),MOD(MONTH($D$200)+1-1,12)+1,1),'📋 Movimentações'!$B$15:$B$514,"&lt;="&amp;EOMONTH(DATE(YEAR($D$200)+INT((MONTH($D$200)+1-1)/12),MOD(MONTH($D$200)+1-1,12)+1,1),0),'📋 Movimentações'!$E$15:$E$514,"Saída",'📋 Movimentações'!$D$15:$D$514,"Mercado")+SUMIFS('📋 Movimentações'!$F$15:$F$514,'📋 Movimentações'!$B$15:$B$514,"&gt;="&amp;DATE(YEAR($D$200)+INT((MONTH($D$200)+1-1)/12),MOD(MONTH($D$200)+1-1,12)+1,1),'📋 Movimentações'!$B$15:$B$514,"&lt;="&amp;EOMONTH(DATE(YEAR($D$200)+INT((MONTH($D$200)+1-1)/12),MOD(MONTH($D$200)+1-1,12)+1,1),0),'📋 Movimentações'!$E$15:$E$514,"Saída",'📋 Movimentações'!$D$15:$D$514,"Konbini"),0)</f>
        <v>0</v>
      </c>
      <c r="F58" s="36">
        <f>IFERROR(SUMIFS('📋 Movimentações'!$F$15:$F$514,'📋 Movimentações'!$B$15:$B$514,"&gt;="&amp;DATE(YEAR($D$200)+INT((MONTH($D$200)+2-1)/12),MOD(MONTH($D$200)+2-1,12)+1,1),'📋 Movimentações'!$B$15:$B$514,"&lt;="&amp;EOMONTH(DATE(YEAR($D$200)+INT((MONTH($D$200)+2-1)/12),MOD(MONTH($D$200)+2-1,12)+1,1),0),'📋 Movimentações'!$E$15:$E$514,"Saída",'📋 Movimentações'!$D$15:$D$514,"Mercado")+SUMIFS('📋 Movimentações'!$F$15:$F$514,'📋 Movimentações'!$B$15:$B$514,"&gt;="&amp;DATE(YEAR($D$200)+INT((MONTH($D$200)+2-1)/12),MOD(MONTH($D$200)+2-1,12)+1,1),'📋 Movimentações'!$B$15:$B$514,"&lt;="&amp;EOMONTH(DATE(YEAR($D$200)+INT((MONTH($D$200)+2-1)/12),MOD(MONTH($D$200)+2-1,12)+1,1),0),'📋 Movimentações'!$E$15:$E$514,"Saída",'📋 Movimentações'!$D$15:$D$514,"Konbini"),0)</f>
        <v>0</v>
      </c>
      <c r="G58" s="36">
        <f>IFERROR(SUMIFS('📋 Movimentações'!$F$15:$F$514,'📋 Movimentações'!$B$15:$B$514,"&gt;="&amp;DATE(YEAR($D$200)+INT((MONTH($D$200)+3-1)/12),MOD(MONTH($D$200)+3-1,12)+1,1),'📋 Movimentações'!$B$15:$B$514,"&lt;="&amp;EOMONTH(DATE(YEAR($D$200)+INT((MONTH($D$200)+3-1)/12),MOD(MONTH($D$200)+3-1,12)+1,1),0),'📋 Movimentações'!$E$15:$E$514,"Saída",'📋 Movimentações'!$D$15:$D$514,"Mercado")+SUMIFS('📋 Movimentações'!$F$15:$F$514,'📋 Movimentações'!$B$15:$B$514,"&gt;="&amp;DATE(YEAR($D$200)+INT((MONTH($D$200)+3-1)/12),MOD(MONTH($D$200)+3-1,12)+1,1),'📋 Movimentações'!$B$15:$B$514,"&lt;="&amp;EOMONTH(DATE(YEAR($D$200)+INT((MONTH($D$200)+3-1)/12),MOD(MONTH($D$200)+3-1,12)+1,1),0),'📋 Movimentações'!$E$15:$E$514,"Saída",'📋 Movimentações'!$D$15:$D$514,"Konbini"),0)</f>
        <v>0</v>
      </c>
      <c r="H58" s="36">
        <f>IFERROR(SUMIFS('📋 Movimentações'!$F$15:$F$514,'📋 Movimentações'!$B$15:$B$514,"&gt;="&amp;DATE(YEAR($D$200)+INT((MONTH($D$200)+4-1)/12),MOD(MONTH($D$200)+4-1,12)+1,1),'📋 Movimentações'!$B$15:$B$514,"&lt;="&amp;EOMONTH(DATE(YEAR($D$200)+INT((MONTH($D$200)+4-1)/12),MOD(MONTH($D$200)+4-1,12)+1,1),0),'📋 Movimentações'!$E$15:$E$514,"Saída",'📋 Movimentações'!$D$15:$D$514,"Mercado")+SUMIFS('📋 Movimentações'!$F$15:$F$514,'📋 Movimentações'!$B$15:$B$514,"&gt;="&amp;DATE(YEAR($D$200)+INT((MONTH($D$200)+4-1)/12),MOD(MONTH($D$200)+4-1,12)+1,1),'📋 Movimentações'!$B$15:$B$514,"&lt;="&amp;EOMONTH(DATE(YEAR($D$200)+INT((MONTH($D$200)+4-1)/12),MOD(MONTH($D$200)+4-1,12)+1,1),0),'📋 Movimentações'!$E$15:$E$514,"Saída",'📋 Movimentações'!$D$15:$D$514,"Konbini"),0)</f>
        <v>0</v>
      </c>
      <c r="I58" s="36">
        <f>IFERROR(SUMIFS('📋 Movimentações'!$F$15:$F$514,'📋 Movimentações'!$B$15:$B$514,"&gt;="&amp;DATE(YEAR($D$200)+INT((MONTH($D$200)+5-1)/12),MOD(MONTH($D$200)+5-1,12)+1,1),'📋 Movimentações'!$B$15:$B$514,"&lt;="&amp;EOMONTH(DATE(YEAR($D$200)+INT((MONTH($D$200)+5-1)/12),MOD(MONTH($D$200)+5-1,12)+1,1),0),'📋 Movimentações'!$E$15:$E$514,"Saída",'📋 Movimentações'!$D$15:$D$514,"Mercado")+SUMIFS('📋 Movimentações'!$F$15:$F$514,'📋 Movimentações'!$B$15:$B$514,"&gt;="&amp;DATE(YEAR($D$200)+INT((MONTH($D$200)+5-1)/12),MOD(MONTH($D$200)+5-1,12)+1,1),'📋 Movimentações'!$B$15:$B$514,"&lt;="&amp;EOMONTH(DATE(YEAR($D$200)+INT((MONTH($D$200)+5-1)/12),MOD(MONTH($D$200)+5-1,12)+1,1),0),'📋 Movimentações'!$E$15:$E$514,"Saída",'📋 Movimentações'!$D$15:$D$514,"Konbini"),0)</f>
        <v>0</v>
      </c>
      <c r="J58" s="37">
        <f t="shared" si="3"/>
        <v>0</v>
      </c>
      <c r="K58" s="14"/>
    </row>
    <row r="59" spans="1:11" ht="21.75" customHeight="1">
      <c r="A59" s="10"/>
      <c r="B59" s="11" t="s">
        <v>34</v>
      </c>
      <c r="C59" s="12" t="s">
        <v>8</v>
      </c>
      <c r="D59" s="35">
        <v>0</v>
      </c>
      <c r="E59" s="35">
        <v>0</v>
      </c>
      <c r="F59" s="35">
        <v>0</v>
      </c>
      <c r="G59" s="35">
        <v>0</v>
      </c>
      <c r="H59" s="35">
        <v>0</v>
      </c>
      <c r="I59" s="35">
        <v>0</v>
      </c>
      <c r="J59" s="35">
        <f t="shared" si="3"/>
        <v>0</v>
      </c>
      <c r="K59" s="10"/>
    </row>
    <row r="60" spans="1:11" ht="19.5" customHeight="1">
      <c r="A60" s="14"/>
      <c r="B60" s="15"/>
      <c r="C60" s="16" t="s">
        <v>9</v>
      </c>
      <c r="D60" s="36">
        <f>IFERROR(SUMIFS('📋 Movimentações'!$F$15:$F$514,'📋 Movimentações'!$B$15:$B$514,"&gt;="&amp;DATE(YEAR($D$200)+INT((MONTH($D$200)+0-1)/12),MOD(MONTH($D$200)+0-1,12)+1,1),'📋 Movimentações'!$B$15:$B$514,"&lt;="&amp;EOMONTH(DATE(YEAR($D$200)+INT((MONTH($D$200)+0-1)/12),MOD(MONTH($D$200)+0-1,12)+1,1),0),'📋 Movimentações'!$E$15:$E$514,"Saída",'📋 Movimentações'!$D$15:$D$514,"Gasolina")+SUMIFS('📋 Movimentações'!$F$15:$F$514,'📋 Movimentações'!$B$15:$B$514,"&gt;="&amp;DATE(YEAR($D$200)+INT((MONTH($D$200)+0-1)/12),MOD(MONTH($D$200)+0-1,12)+1,1),'📋 Movimentações'!$B$15:$B$514,"&lt;="&amp;EOMONTH(DATE(YEAR($D$200)+INT((MONTH($D$200)+0-1)/12),MOD(MONTH($D$200)+0-1,12)+1,1),0),'📋 Movimentações'!$E$15:$E$514,"Saída",'📋 Movimentações'!$D$15:$D$514,"Pedágio")+SUMIFS('📋 Movimentações'!$F$15:$F$514,'📋 Movimentações'!$B$15:$B$514,"&gt;="&amp;DATE(YEAR($D$200)+INT((MONTH($D$200)+0-1)/12),MOD(MONTH($D$200)+0-1,12)+1,1),'📋 Movimentações'!$B$15:$B$514,"&lt;="&amp;EOMONTH(DATE(YEAR($D$200)+INT((MONTH($D$200)+0-1)/12),MOD(MONTH($D$200)+0-1,12)+1,1),0),'📋 Movimentações'!$E$15:$E$514,"Saída",'📋 Movimentações'!$D$15:$D$514,"Estacionamento"),0)</f>
        <v>0</v>
      </c>
      <c r="E60" s="36">
        <f>IFERROR(SUMIFS('📋 Movimentações'!$F$15:$F$514,'📋 Movimentações'!$B$15:$B$514,"&gt;="&amp;DATE(YEAR($D$200)+INT((MONTH($D$200)+1-1)/12),MOD(MONTH($D$200)+1-1,12)+1,1),'📋 Movimentações'!$B$15:$B$514,"&lt;="&amp;EOMONTH(DATE(YEAR($D$200)+INT((MONTH($D$200)+1-1)/12),MOD(MONTH($D$200)+1-1,12)+1,1),0),'📋 Movimentações'!$E$15:$E$514,"Saída",'📋 Movimentações'!$D$15:$D$514,"Gasolina")+SUMIFS('📋 Movimentações'!$F$15:$F$514,'📋 Movimentações'!$B$15:$B$514,"&gt;="&amp;DATE(YEAR($D$200)+INT((MONTH($D$200)+1-1)/12),MOD(MONTH($D$200)+1-1,12)+1,1),'📋 Movimentações'!$B$15:$B$514,"&lt;="&amp;EOMONTH(DATE(YEAR($D$200)+INT((MONTH($D$200)+1-1)/12),MOD(MONTH($D$200)+1-1,12)+1,1),0),'📋 Movimentações'!$E$15:$E$514,"Saída",'📋 Movimentações'!$D$15:$D$514,"Pedágio")+SUMIFS('📋 Movimentações'!$F$15:$F$514,'📋 Movimentações'!$B$15:$B$514,"&gt;="&amp;DATE(YEAR($D$200)+INT((MONTH($D$200)+1-1)/12),MOD(MONTH($D$200)+1-1,12)+1,1),'📋 Movimentações'!$B$15:$B$514,"&lt;="&amp;EOMONTH(DATE(YEAR($D$200)+INT((MONTH($D$200)+1-1)/12),MOD(MONTH($D$200)+1-1,12)+1,1),0),'📋 Movimentações'!$E$15:$E$514,"Saída",'📋 Movimentações'!$D$15:$D$514,"Estacionamento"),0)</f>
        <v>0</v>
      </c>
      <c r="F60" s="36">
        <f>IFERROR(SUMIFS('📋 Movimentações'!$F$15:$F$514,'📋 Movimentações'!$B$15:$B$514,"&gt;="&amp;DATE(YEAR($D$200)+INT((MONTH($D$200)+2-1)/12),MOD(MONTH($D$200)+2-1,12)+1,1),'📋 Movimentações'!$B$15:$B$514,"&lt;="&amp;EOMONTH(DATE(YEAR($D$200)+INT((MONTH($D$200)+2-1)/12),MOD(MONTH($D$200)+2-1,12)+1,1),0),'📋 Movimentações'!$E$15:$E$514,"Saída",'📋 Movimentações'!$D$15:$D$514,"Gasolina")+SUMIFS('📋 Movimentações'!$F$15:$F$514,'📋 Movimentações'!$B$15:$B$514,"&gt;="&amp;DATE(YEAR($D$200)+INT((MONTH($D$200)+2-1)/12),MOD(MONTH($D$200)+2-1,12)+1,1),'📋 Movimentações'!$B$15:$B$514,"&lt;="&amp;EOMONTH(DATE(YEAR($D$200)+INT((MONTH($D$200)+2-1)/12),MOD(MONTH($D$200)+2-1,12)+1,1),0),'📋 Movimentações'!$E$15:$E$514,"Saída",'📋 Movimentações'!$D$15:$D$514,"Pedágio")+SUMIFS('📋 Movimentações'!$F$15:$F$514,'📋 Movimentações'!$B$15:$B$514,"&gt;="&amp;DATE(YEAR($D$200)+INT((MONTH($D$200)+2-1)/12),MOD(MONTH($D$200)+2-1,12)+1,1),'📋 Movimentações'!$B$15:$B$514,"&lt;="&amp;EOMONTH(DATE(YEAR($D$200)+INT((MONTH($D$200)+2-1)/12),MOD(MONTH($D$200)+2-1,12)+1,1),0),'📋 Movimentações'!$E$15:$E$514,"Saída",'📋 Movimentações'!$D$15:$D$514,"Estacionamento"),0)</f>
        <v>0</v>
      </c>
      <c r="G60" s="36">
        <f>IFERROR(SUMIFS('📋 Movimentações'!$F$15:$F$514,'📋 Movimentações'!$B$15:$B$514,"&gt;="&amp;DATE(YEAR($D$200)+INT((MONTH($D$200)+3-1)/12),MOD(MONTH($D$200)+3-1,12)+1,1),'📋 Movimentações'!$B$15:$B$514,"&lt;="&amp;EOMONTH(DATE(YEAR($D$200)+INT((MONTH($D$200)+3-1)/12),MOD(MONTH($D$200)+3-1,12)+1,1),0),'📋 Movimentações'!$E$15:$E$514,"Saída",'📋 Movimentações'!$D$15:$D$514,"Gasolina")+SUMIFS('📋 Movimentações'!$F$15:$F$514,'📋 Movimentações'!$B$15:$B$514,"&gt;="&amp;DATE(YEAR($D$200)+INT((MONTH($D$200)+3-1)/12),MOD(MONTH($D$200)+3-1,12)+1,1),'📋 Movimentações'!$B$15:$B$514,"&lt;="&amp;EOMONTH(DATE(YEAR($D$200)+INT((MONTH($D$200)+3-1)/12),MOD(MONTH($D$200)+3-1,12)+1,1),0),'📋 Movimentações'!$E$15:$E$514,"Saída",'📋 Movimentações'!$D$15:$D$514,"Pedágio")+SUMIFS('📋 Movimentações'!$F$15:$F$514,'📋 Movimentações'!$B$15:$B$514,"&gt;="&amp;DATE(YEAR($D$200)+INT((MONTH($D$200)+3-1)/12),MOD(MONTH($D$200)+3-1,12)+1,1),'📋 Movimentações'!$B$15:$B$514,"&lt;="&amp;EOMONTH(DATE(YEAR($D$200)+INT((MONTH($D$200)+3-1)/12),MOD(MONTH($D$200)+3-1,12)+1,1),0),'📋 Movimentações'!$E$15:$E$514,"Saída",'📋 Movimentações'!$D$15:$D$514,"Estacionamento"),0)</f>
        <v>0</v>
      </c>
      <c r="H60" s="36">
        <f>IFERROR(SUMIFS('📋 Movimentações'!$F$15:$F$514,'📋 Movimentações'!$B$15:$B$514,"&gt;="&amp;DATE(YEAR($D$200)+INT((MONTH($D$200)+4-1)/12),MOD(MONTH($D$200)+4-1,12)+1,1),'📋 Movimentações'!$B$15:$B$514,"&lt;="&amp;EOMONTH(DATE(YEAR($D$200)+INT((MONTH($D$200)+4-1)/12),MOD(MONTH($D$200)+4-1,12)+1,1),0),'📋 Movimentações'!$E$15:$E$514,"Saída",'📋 Movimentações'!$D$15:$D$514,"Gasolina")+SUMIFS('📋 Movimentações'!$F$15:$F$514,'📋 Movimentações'!$B$15:$B$514,"&gt;="&amp;DATE(YEAR($D$200)+INT((MONTH($D$200)+4-1)/12),MOD(MONTH($D$200)+4-1,12)+1,1),'📋 Movimentações'!$B$15:$B$514,"&lt;="&amp;EOMONTH(DATE(YEAR($D$200)+INT((MONTH($D$200)+4-1)/12),MOD(MONTH($D$200)+4-1,12)+1,1),0),'📋 Movimentações'!$E$15:$E$514,"Saída",'📋 Movimentações'!$D$15:$D$514,"Pedágio")+SUMIFS('📋 Movimentações'!$F$15:$F$514,'📋 Movimentações'!$B$15:$B$514,"&gt;="&amp;DATE(YEAR($D$200)+INT((MONTH($D$200)+4-1)/12),MOD(MONTH($D$200)+4-1,12)+1,1),'📋 Movimentações'!$B$15:$B$514,"&lt;="&amp;EOMONTH(DATE(YEAR($D$200)+INT((MONTH($D$200)+4-1)/12),MOD(MONTH($D$200)+4-1,12)+1,1),0),'📋 Movimentações'!$E$15:$E$514,"Saída",'📋 Movimentações'!$D$15:$D$514,"Estacionamento"),0)</f>
        <v>0</v>
      </c>
      <c r="I60" s="36">
        <f>IFERROR(SUMIFS('📋 Movimentações'!$F$15:$F$514,'📋 Movimentações'!$B$15:$B$514,"&gt;="&amp;DATE(YEAR($D$200)+INT((MONTH($D$200)+5-1)/12),MOD(MONTH($D$200)+5-1,12)+1,1),'📋 Movimentações'!$B$15:$B$514,"&lt;="&amp;EOMONTH(DATE(YEAR($D$200)+INT((MONTH($D$200)+5-1)/12),MOD(MONTH($D$200)+5-1,12)+1,1),0),'📋 Movimentações'!$E$15:$E$514,"Saída",'📋 Movimentações'!$D$15:$D$514,"Gasolina")+SUMIFS('📋 Movimentações'!$F$15:$F$514,'📋 Movimentações'!$B$15:$B$514,"&gt;="&amp;DATE(YEAR($D$200)+INT((MONTH($D$200)+5-1)/12),MOD(MONTH($D$200)+5-1,12)+1,1),'📋 Movimentações'!$B$15:$B$514,"&lt;="&amp;EOMONTH(DATE(YEAR($D$200)+INT((MONTH($D$200)+5-1)/12),MOD(MONTH($D$200)+5-1,12)+1,1),0),'📋 Movimentações'!$E$15:$E$514,"Saída",'📋 Movimentações'!$D$15:$D$514,"Pedágio")+SUMIFS('📋 Movimentações'!$F$15:$F$514,'📋 Movimentações'!$B$15:$B$514,"&gt;="&amp;DATE(YEAR($D$200)+INT((MONTH($D$200)+5-1)/12),MOD(MONTH($D$200)+5-1,12)+1,1),'📋 Movimentações'!$B$15:$B$514,"&lt;="&amp;EOMONTH(DATE(YEAR($D$200)+INT((MONTH($D$200)+5-1)/12),MOD(MONTH($D$200)+5-1,12)+1,1),0),'📋 Movimentações'!$E$15:$E$514,"Saída",'📋 Movimentações'!$D$15:$D$514,"Estacionamento"),0)</f>
        <v>0</v>
      </c>
      <c r="J60" s="37">
        <f t="shared" si="3"/>
        <v>0</v>
      </c>
      <c r="K60" s="14"/>
    </row>
    <row r="61" spans="1:11" ht="21.75" customHeight="1">
      <c r="A61" s="10"/>
      <c r="B61" s="11" t="s">
        <v>35</v>
      </c>
      <c r="C61" s="12" t="s">
        <v>8</v>
      </c>
      <c r="D61" s="35">
        <v>0</v>
      </c>
      <c r="E61" s="35">
        <v>0</v>
      </c>
      <c r="F61" s="35">
        <v>0</v>
      </c>
      <c r="G61" s="35">
        <v>0</v>
      </c>
      <c r="H61" s="35">
        <v>0</v>
      </c>
      <c r="I61" s="35">
        <v>0</v>
      </c>
      <c r="J61" s="35">
        <f t="shared" si="3"/>
        <v>0</v>
      </c>
      <c r="K61" s="10"/>
    </row>
    <row r="62" spans="1:11" ht="19.5" customHeight="1">
      <c r="A62" s="14"/>
      <c r="B62" s="15"/>
      <c r="C62" s="16" t="s">
        <v>9</v>
      </c>
      <c r="D62" s="36">
        <f>IFERROR(SUMIFS('📋 Movimentações'!$F$15:$F$514,'📋 Movimentações'!$B$15:$B$514,"&gt;="&amp;DATE(YEAR($D$200)+INT((MONTH($D$200)+0-1)/12),MOD(MONTH($D$200)+0-1,12)+1,1),'📋 Movimentações'!$B$15:$B$514,"&lt;="&amp;EOMONTH(DATE(YEAR($D$200)+INT((MONTH($D$200)+0-1)/12),MOD(MONTH($D$200)+0-1,12)+1,1),0),'📋 Movimentações'!$E$15:$E$514,"Saída",'📋 Movimentações'!$D$15:$D$514,"Restaurantes"),0)</f>
        <v>0</v>
      </c>
      <c r="E62" s="36">
        <f>IFERROR(SUMIFS('📋 Movimentações'!$F$15:$F$514,'📋 Movimentações'!$B$15:$B$514,"&gt;="&amp;DATE(YEAR($D$200)+INT((MONTH($D$200)+1-1)/12),MOD(MONTH($D$200)+1-1,12)+1,1),'📋 Movimentações'!$B$15:$B$514,"&lt;="&amp;EOMONTH(DATE(YEAR($D$200)+INT((MONTH($D$200)+1-1)/12),MOD(MONTH($D$200)+1-1,12)+1,1),0),'📋 Movimentações'!$E$15:$E$514,"Saída",'📋 Movimentações'!$D$15:$D$514,"Restaurantes"),0)</f>
        <v>0</v>
      </c>
      <c r="F62" s="36">
        <f>IFERROR(SUMIFS('📋 Movimentações'!$F$15:$F$514,'📋 Movimentações'!$B$15:$B$514,"&gt;="&amp;DATE(YEAR($D$200)+INT((MONTH($D$200)+2-1)/12),MOD(MONTH($D$200)+2-1,12)+1,1),'📋 Movimentações'!$B$15:$B$514,"&lt;="&amp;EOMONTH(DATE(YEAR($D$200)+INT((MONTH($D$200)+2-1)/12),MOD(MONTH($D$200)+2-1,12)+1,1),0),'📋 Movimentações'!$E$15:$E$514,"Saída",'📋 Movimentações'!$D$15:$D$514,"Restaurantes"),0)</f>
        <v>0</v>
      </c>
      <c r="G62" s="36">
        <f>IFERROR(SUMIFS('📋 Movimentações'!$F$15:$F$514,'📋 Movimentações'!$B$15:$B$514,"&gt;="&amp;DATE(YEAR($D$200)+INT((MONTH($D$200)+3-1)/12),MOD(MONTH($D$200)+3-1,12)+1,1),'📋 Movimentações'!$B$15:$B$514,"&lt;="&amp;EOMONTH(DATE(YEAR($D$200)+INT((MONTH($D$200)+3-1)/12),MOD(MONTH($D$200)+3-1,12)+1,1),0),'📋 Movimentações'!$E$15:$E$514,"Saída",'📋 Movimentações'!$D$15:$D$514,"Restaurantes"),0)</f>
        <v>0</v>
      </c>
      <c r="H62" s="36">
        <f>IFERROR(SUMIFS('📋 Movimentações'!$F$15:$F$514,'📋 Movimentações'!$B$15:$B$514,"&gt;="&amp;DATE(YEAR($D$200)+INT((MONTH($D$200)+4-1)/12),MOD(MONTH($D$200)+4-1,12)+1,1),'📋 Movimentações'!$B$15:$B$514,"&lt;="&amp;EOMONTH(DATE(YEAR($D$200)+INT((MONTH($D$200)+4-1)/12),MOD(MONTH($D$200)+4-1,12)+1,1),0),'📋 Movimentações'!$E$15:$E$514,"Saída",'📋 Movimentações'!$D$15:$D$514,"Restaurantes"),0)</f>
        <v>0</v>
      </c>
      <c r="I62" s="36">
        <f>IFERROR(SUMIFS('📋 Movimentações'!$F$15:$F$514,'📋 Movimentações'!$B$15:$B$514,"&gt;="&amp;DATE(YEAR($D$200)+INT((MONTH($D$200)+5-1)/12),MOD(MONTH($D$200)+5-1,12)+1,1),'📋 Movimentações'!$B$15:$B$514,"&lt;="&amp;EOMONTH(DATE(YEAR($D$200)+INT((MONTH($D$200)+5-1)/12),MOD(MONTH($D$200)+5-1,12)+1,1),0),'📋 Movimentações'!$E$15:$E$514,"Saída",'📋 Movimentações'!$D$15:$D$514,"Restaurantes"),0)</f>
        <v>0</v>
      </c>
      <c r="J62" s="37">
        <f t="shared" si="3"/>
        <v>0</v>
      </c>
      <c r="K62" s="14"/>
    </row>
    <row r="63" spans="1:11" ht="21.75" customHeight="1">
      <c r="A63" s="10"/>
      <c r="B63" s="11" t="s">
        <v>36</v>
      </c>
      <c r="C63" s="12" t="s">
        <v>8</v>
      </c>
      <c r="D63" s="35">
        <v>0</v>
      </c>
      <c r="E63" s="35">
        <v>0</v>
      </c>
      <c r="F63" s="35">
        <v>0</v>
      </c>
      <c r="G63" s="35">
        <v>0</v>
      </c>
      <c r="H63" s="35">
        <v>0</v>
      </c>
      <c r="I63" s="35">
        <v>0</v>
      </c>
      <c r="J63" s="35">
        <f t="shared" si="3"/>
        <v>0</v>
      </c>
      <c r="K63" s="10"/>
    </row>
    <row r="64" spans="1:11" ht="19.5" customHeight="1">
      <c r="A64" s="14"/>
      <c r="B64" s="15"/>
      <c r="C64" s="16" t="s">
        <v>9</v>
      </c>
      <c r="D64" s="36">
        <f>IFERROR(SUMIFS('📋 Movimentações'!$F$15:$F$514,'📋 Movimentações'!$B$15:$B$514,"&gt;="&amp;DATE(YEAR($D$200)+INT((MONTH($D$200)+0-1)/12),MOD(MONTH($D$200)+0-1,12)+1,1),'📋 Movimentações'!$B$15:$B$514,"&lt;="&amp;EOMONTH(DATE(YEAR($D$200)+INT((MONTH($D$200)+0-1)/12),MOD(MONTH($D$200)+0-1,12)+1,1),0),'📋 Movimentações'!$E$15:$E$514,"Saída",'📋 Movimentações'!$D$15:$D$514,"Lazer"),0)</f>
        <v>0</v>
      </c>
      <c r="E64" s="36">
        <f>IFERROR(SUMIFS('📋 Movimentações'!$F$15:$F$514,'📋 Movimentações'!$B$15:$B$514,"&gt;="&amp;DATE(YEAR($D$200)+INT((MONTH($D$200)+1-1)/12),MOD(MONTH($D$200)+1-1,12)+1,1),'📋 Movimentações'!$B$15:$B$514,"&lt;="&amp;EOMONTH(DATE(YEAR($D$200)+INT((MONTH($D$200)+1-1)/12),MOD(MONTH($D$200)+1-1,12)+1,1),0),'📋 Movimentações'!$E$15:$E$514,"Saída",'📋 Movimentações'!$D$15:$D$514,"Lazer"),0)</f>
        <v>0</v>
      </c>
      <c r="F64" s="36">
        <f>IFERROR(SUMIFS('📋 Movimentações'!$F$15:$F$514,'📋 Movimentações'!$B$15:$B$514,"&gt;="&amp;DATE(YEAR($D$200)+INT((MONTH($D$200)+2-1)/12),MOD(MONTH($D$200)+2-1,12)+1,1),'📋 Movimentações'!$B$15:$B$514,"&lt;="&amp;EOMONTH(DATE(YEAR($D$200)+INT((MONTH($D$200)+2-1)/12),MOD(MONTH($D$200)+2-1,12)+1,1),0),'📋 Movimentações'!$E$15:$E$514,"Saída",'📋 Movimentações'!$D$15:$D$514,"Lazer"),0)</f>
        <v>0</v>
      </c>
      <c r="G64" s="36">
        <f>IFERROR(SUMIFS('📋 Movimentações'!$F$15:$F$514,'📋 Movimentações'!$B$15:$B$514,"&gt;="&amp;DATE(YEAR($D$200)+INT((MONTH($D$200)+3-1)/12),MOD(MONTH($D$200)+3-1,12)+1,1),'📋 Movimentações'!$B$15:$B$514,"&lt;="&amp;EOMONTH(DATE(YEAR($D$200)+INT((MONTH($D$200)+3-1)/12),MOD(MONTH($D$200)+3-1,12)+1,1),0),'📋 Movimentações'!$E$15:$E$514,"Saída",'📋 Movimentações'!$D$15:$D$514,"Lazer"),0)</f>
        <v>0</v>
      </c>
      <c r="H64" s="36">
        <f>IFERROR(SUMIFS('📋 Movimentações'!$F$15:$F$514,'📋 Movimentações'!$B$15:$B$514,"&gt;="&amp;DATE(YEAR($D$200)+INT((MONTH($D$200)+4-1)/12),MOD(MONTH($D$200)+4-1,12)+1,1),'📋 Movimentações'!$B$15:$B$514,"&lt;="&amp;EOMONTH(DATE(YEAR($D$200)+INT((MONTH($D$200)+4-1)/12),MOD(MONTH($D$200)+4-1,12)+1,1),0),'📋 Movimentações'!$E$15:$E$514,"Saída",'📋 Movimentações'!$D$15:$D$514,"Lazer"),0)</f>
        <v>0</v>
      </c>
      <c r="I64" s="36">
        <f>IFERROR(SUMIFS('📋 Movimentações'!$F$15:$F$514,'📋 Movimentações'!$B$15:$B$514,"&gt;="&amp;DATE(YEAR($D$200)+INT((MONTH($D$200)+5-1)/12),MOD(MONTH($D$200)+5-1,12)+1,1),'📋 Movimentações'!$B$15:$B$514,"&lt;="&amp;EOMONTH(DATE(YEAR($D$200)+INT((MONTH($D$200)+5-1)/12),MOD(MONTH($D$200)+5-1,12)+1,1),0),'📋 Movimentações'!$E$15:$E$514,"Saída",'📋 Movimentações'!$D$15:$D$514,"Lazer"),0)</f>
        <v>0</v>
      </c>
      <c r="J64" s="37">
        <f t="shared" si="3"/>
        <v>0</v>
      </c>
      <c r="K64" s="14"/>
    </row>
    <row r="65" spans="1:11" ht="21.75" customHeight="1">
      <c r="A65" s="10"/>
      <c r="B65" s="11" t="s">
        <v>37</v>
      </c>
      <c r="C65" s="12" t="s">
        <v>8</v>
      </c>
      <c r="D65" s="35">
        <v>0</v>
      </c>
      <c r="E65" s="35">
        <v>0</v>
      </c>
      <c r="F65" s="35">
        <v>0</v>
      </c>
      <c r="G65" s="35">
        <v>0</v>
      </c>
      <c r="H65" s="35">
        <v>0</v>
      </c>
      <c r="I65" s="35">
        <v>0</v>
      </c>
      <c r="J65" s="35">
        <f t="shared" si="3"/>
        <v>0</v>
      </c>
      <c r="K65" s="10"/>
    </row>
    <row r="66" spans="1:11" ht="19.5" customHeight="1">
      <c r="A66" s="14"/>
      <c r="B66" s="15"/>
      <c r="C66" s="16" t="s">
        <v>9</v>
      </c>
      <c r="D66" s="36">
        <f>IFERROR(SUMIFS('📋 Movimentações'!$F$15:$F$514,'📋 Movimentações'!$B$15:$B$514,"&gt;="&amp;DATE(YEAR($D$200)+INT((MONTH($D$200)+0-1)/12),MOD(MONTH($D$200)+0-1,12)+1,1),'📋 Movimentações'!$B$15:$B$514,"&lt;="&amp;EOMONTH(DATE(YEAR($D$200)+INT((MONTH($D$200)+0-1)/12),MOD(MONTH($D$200)+0-1,12)+1,1),0),'📋 Movimentações'!$E$15:$E$514,"Saída",'📋 Movimentações'!$D$15:$D$514,"Saúde")+SUMIFS('📋 Movimentações'!$F$15:$F$514,'📋 Movimentações'!$B$15:$B$514,"&gt;="&amp;DATE(YEAR($D$200)+INT((MONTH($D$200)+0-1)/12),MOD(MONTH($D$200)+0-1,12)+1,1),'📋 Movimentações'!$B$15:$B$514,"&lt;="&amp;EOMONTH(DATE(YEAR($D$200)+INT((MONTH($D$200)+0-1)/12),MOD(MONTH($D$200)+0-1,12)+1,1),0),'📋 Movimentações'!$E$15:$E$514,"Saída",'📋 Movimentações'!$D$15:$D$514,"Remédios"),0)</f>
        <v>0</v>
      </c>
      <c r="E66" s="36">
        <f>IFERROR(SUMIFS('📋 Movimentações'!$F$15:$F$514,'📋 Movimentações'!$B$15:$B$514,"&gt;="&amp;DATE(YEAR($D$200)+INT((MONTH($D$200)+1-1)/12),MOD(MONTH($D$200)+1-1,12)+1,1),'📋 Movimentações'!$B$15:$B$514,"&lt;="&amp;EOMONTH(DATE(YEAR($D$200)+INT((MONTH($D$200)+1-1)/12),MOD(MONTH($D$200)+1-1,12)+1,1),0),'📋 Movimentações'!$E$15:$E$514,"Saída",'📋 Movimentações'!$D$15:$D$514,"Saúde")+SUMIFS('📋 Movimentações'!$F$15:$F$514,'📋 Movimentações'!$B$15:$B$514,"&gt;="&amp;DATE(YEAR($D$200)+INT((MONTH($D$200)+1-1)/12),MOD(MONTH($D$200)+1-1,12)+1,1),'📋 Movimentações'!$B$15:$B$514,"&lt;="&amp;EOMONTH(DATE(YEAR($D$200)+INT((MONTH($D$200)+1-1)/12),MOD(MONTH($D$200)+1-1,12)+1,1),0),'📋 Movimentações'!$E$15:$E$514,"Saída",'📋 Movimentações'!$D$15:$D$514,"Remédios"),0)</f>
        <v>0</v>
      </c>
      <c r="F66" s="36">
        <f>IFERROR(SUMIFS('📋 Movimentações'!$F$15:$F$514,'📋 Movimentações'!$B$15:$B$514,"&gt;="&amp;DATE(YEAR($D$200)+INT((MONTH($D$200)+2-1)/12),MOD(MONTH($D$200)+2-1,12)+1,1),'📋 Movimentações'!$B$15:$B$514,"&lt;="&amp;EOMONTH(DATE(YEAR($D$200)+INT((MONTH($D$200)+2-1)/12),MOD(MONTH($D$200)+2-1,12)+1,1),0),'📋 Movimentações'!$E$15:$E$514,"Saída",'📋 Movimentações'!$D$15:$D$514,"Saúde")+SUMIFS('📋 Movimentações'!$F$15:$F$514,'📋 Movimentações'!$B$15:$B$514,"&gt;="&amp;DATE(YEAR($D$200)+INT((MONTH($D$200)+2-1)/12),MOD(MONTH($D$200)+2-1,12)+1,1),'📋 Movimentações'!$B$15:$B$514,"&lt;="&amp;EOMONTH(DATE(YEAR($D$200)+INT((MONTH($D$200)+2-1)/12),MOD(MONTH($D$200)+2-1,12)+1,1),0),'📋 Movimentações'!$E$15:$E$514,"Saída",'📋 Movimentações'!$D$15:$D$514,"Remédios"),0)</f>
        <v>0</v>
      </c>
      <c r="G66" s="36">
        <f>IFERROR(SUMIFS('📋 Movimentações'!$F$15:$F$514,'📋 Movimentações'!$B$15:$B$514,"&gt;="&amp;DATE(YEAR($D$200)+INT((MONTH($D$200)+3-1)/12),MOD(MONTH($D$200)+3-1,12)+1,1),'📋 Movimentações'!$B$15:$B$514,"&lt;="&amp;EOMONTH(DATE(YEAR($D$200)+INT((MONTH($D$200)+3-1)/12),MOD(MONTH($D$200)+3-1,12)+1,1),0),'📋 Movimentações'!$E$15:$E$514,"Saída",'📋 Movimentações'!$D$15:$D$514,"Saúde")+SUMIFS('📋 Movimentações'!$F$15:$F$514,'📋 Movimentações'!$B$15:$B$514,"&gt;="&amp;DATE(YEAR($D$200)+INT((MONTH($D$200)+3-1)/12),MOD(MONTH($D$200)+3-1,12)+1,1),'📋 Movimentações'!$B$15:$B$514,"&lt;="&amp;EOMONTH(DATE(YEAR($D$200)+INT((MONTH($D$200)+3-1)/12),MOD(MONTH($D$200)+3-1,12)+1,1),0),'📋 Movimentações'!$E$15:$E$514,"Saída",'📋 Movimentações'!$D$15:$D$514,"Remédios"),0)</f>
        <v>0</v>
      </c>
      <c r="H66" s="36">
        <f>IFERROR(SUMIFS('📋 Movimentações'!$F$15:$F$514,'📋 Movimentações'!$B$15:$B$514,"&gt;="&amp;DATE(YEAR($D$200)+INT((MONTH($D$200)+4-1)/12),MOD(MONTH($D$200)+4-1,12)+1,1),'📋 Movimentações'!$B$15:$B$514,"&lt;="&amp;EOMONTH(DATE(YEAR($D$200)+INT((MONTH($D$200)+4-1)/12),MOD(MONTH($D$200)+4-1,12)+1,1),0),'📋 Movimentações'!$E$15:$E$514,"Saída",'📋 Movimentações'!$D$15:$D$514,"Saúde")+SUMIFS('📋 Movimentações'!$F$15:$F$514,'📋 Movimentações'!$B$15:$B$514,"&gt;="&amp;DATE(YEAR($D$200)+INT((MONTH($D$200)+4-1)/12),MOD(MONTH($D$200)+4-1,12)+1,1),'📋 Movimentações'!$B$15:$B$514,"&lt;="&amp;EOMONTH(DATE(YEAR($D$200)+INT((MONTH($D$200)+4-1)/12),MOD(MONTH($D$200)+4-1,12)+1,1),0),'📋 Movimentações'!$E$15:$E$514,"Saída",'📋 Movimentações'!$D$15:$D$514,"Remédios"),0)</f>
        <v>0</v>
      </c>
      <c r="I66" s="36">
        <f>IFERROR(SUMIFS('📋 Movimentações'!$F$15:$F$514,'📋 Movimentações'!$B$15:$B$514,"&gt;="&amp;DATE(YEAR($D$200)+INT((MONTH($D$200)+5-1)/12),MOD(MONTH($D$200)+5-1,12)+1,1),'📋 Movimentações'!$B$15:$B$514,"&lt;="&amp;EOMONTH(DATE(YEAR($D$200)+INT((MONTH($D$200)+5-1)/12),MOD(MONTH($D$200)+5-1,12)+1,1),0),'📋 Movimentações'!$E$15:$E$514,"Saída",'📋 Movimentações'!$D$15:$D$514,"Saúde")+SUMIFS('📋 Movimentações'!$F$15:$F$514,'📋 Movimentações'!$B$15:$B$514,"&gt;="&amp;DATE(YEAR($D$200)+INT((MONTH($D$200)+5-1)/12),MOD(MONTH($D$200)+5-1,12)+1,1),'📋 Movimentações'!$B$15:$B$514,"&lt;="&amp;EOMONTH(DATE(YEAR($D$200)+INT((MONTH($D$200)+5-1)/12),MOD(MONTH($D$200)+5-1,12)+1,1),0),'📋 Movimentações'!$E$15:$E$514,"Saída",'📋 Movimentações'!$D$15:$D$514,"Remédios"),0)</f>
        <v>0</v>
      </c>
      <c r="J66" s="37">
        <f t="shared" si="3"/>
        <v>0</v>
      </c>
      <c r="K66" s="14"/>
    </row>
    <row r="67" spans="1:11" ht="21.75" customHeight="1">
      <c r="A67" s="10"/>
      <c r="B67" s="11" t="s">
        <v>38</v>
      </c>
      <c r="C67" s="12" t="s">
        <v>8</v>
      </c>
      <c r="D67" s="35">
        <v>0</v>
      </c>
      <c r="E67" s="35">
        <v>0</v>
      </c>
      <c r="F67" s="35">
        <v>0</v>
      </c>
      <c r="G67" s="35">
        <v>0</v>
      </c>
      <c r="H67" s="35">
        <v>0</v>
      </c>
      <c r="I67" s="35">
        <v>0</v>
      </c>
      <c r="J67" s="35">
        <f t="shared" si="3"/>
        <v>0</v>
      </c>
      <c r="K67" s="10"/>
    </row>
    <row r="68" spans="1:11" ht="19.5" customHeight="1">
      <c r="A68" s="14"/>
      <c r="B68" s="15"/>
      <c r="C68" s="16" t="s">
        <v>9</v>
      </c>
      <c r="D68" s="36">
        <f>IFERROR(SUMIFS('📋 Movimentações'!$F$15:$F$514,'📋 Movimentações'!$B$15:$B$514,"&gt;="&amp;DATE(YEAR($D$200)+INT((MONTH($D$200)+0-1)/12),MOD(MONTH($D$200)+0-1,12)+1,1),'📋 Movimentações'!$B$15:$B$514,"&lt;="&amp;EOMONTH(DATE(YEAR($D$200)+INT((MONTH($D$200)+0-1)/12),MOD(MONTH($D$200)+0-1,12)+1,1),0),'📋 Movimentações'!$E$15:$E$514,"Saída",'📋 Movimentações'!$D$15:$D$514,"Compras")+SUMIFS('📋 Movimentações'!$F$15:$F$514,'📋 Movimentações'!$B$15:$B$514,"&gt;="&amp;DATE(YEAR($D$200)+INT((MONTH($D$200)+0-1)/12),MOD(MONTH($D$200)+0-1,12)+1,1),'📋 Movimentações'!$B$15:$B$514,"&lt;="&amp;EOMONTH(DATE(YEAR($D$200)+INT((MONTH($D$200)+0-1)/12),MOD(MONTH($D$200)+0-1,12)+1,1),0),'📋 Movimentações'!$E$15:$E$514,"Saída",'📋 Movimentações'!$D$15:$D$514,"Roupas"),0)</f>
        <v>0</v>
      </c>
      <c r="E68" s="36">
        <f>IFERROR(SUMIFS('📋 Movimentações'!$F$15:$F$514,'📋 Movimentações'!$B$15:$B$514,"&gt;="&amp;DATE(YEAR($D$200)+INT((MONTH($D$200)+1-1)/12),MOD(MONTH($D$200)+1-1,12)+1,1),'📋 Movimentações'!$B$15:$B$514,"&lt;="&amp;EOMONTH(DATE(YEAR($D$200)+INT((MONTH($D$200)+1-1)/12),MOD(MONTH($D$200)+1-1,12)+1,1),0),'📋 Movimentações'!$E$15:$E$514,"Saída",'📋 Movimentações'!$D$15:$D$514,"Compras")+SUMIFS('📋 Movimentações'!$F$15:$F$514,'📋 Movimentações'!$B$15:$B$514,"&gt;="&amp;DATE(YEAR($D$200)+INT((MONTH($D$200)+1-1)/12),MOD(MONTH($D$200)+1-1,12)+1,1),'📋 Movimentações'!$B$15:$B$514,"&lt;="&amp;EOMONTH(DATE(YEAR($D$200)+INT((MONTH($D$200)+1-1)/12),MOD(MONTH($D$200)+1-1,12)+1,1),0),'📋 Movimentações'!$E$15:$E$514,"Saída",'📋 Movimentações'!$D$15:$D$514,"Roupas"),0)</f>
        <v>0</v>
      </c>
      <c r="F68" s="36">
        <f>IFERROR(SUMIFS('📋 Movimentações'!$F$15:$F$514,'📋 Movimentações'!$B$15:$B$514,"&gt;="&amp;DATE(YEAR($D$200)+INT((MONTH($D$200)+2-1)/12),MOD(MONTH($D$200)+2-1,12)+1,1),'📋 Movimentações'!$B$15:$B$514,"&lt;="&amp;EOMONTH(DATE(YEAR($D$200)+INT((MONTH($D$200)+2-1)/12),MOD(MONTH($D$200)+2-1,12)+1,1),0),'📋 Movimentações'!$E$15:$E$514,"Saída",'📋 Movimentações'!$D$15:$D$514,"Compras")+SUMIFS('📋 Movimentações'!$F$15:$F$514,'📋 Movimentações'!$B$15:$B$514,"&gt;="&amp;DATE(YEAR($D$200)+INT((MONTH($D$200)+2-1)/12),MOD(MONTH($D$200)+2-1,12)+1,1),'📋 Movimentações'!$B$15:$B$514,"&lt;="&amp;EOMONTH(DATE(YEAR($D$200)+INT((MONTH($D$200)+2-1)/12),MOD(MONTH($D$200)+2-1,12)+1,1),0),'📋 Movimentações'!$E$15:$E$514,"Saída",'📋 Movimentações'!$D$15:$D$514,"Roupas"),0)</f>
        <v>0</v>
      </c>
      <c r="G68" s="36">
        <f>IFERROR(SUMIFS('📋 Movimentações'!$F$15:$F$514,'📋 Movimentações'!$B$15:$B$514,"&gt;="&amp;DATE(YEAR($D$200)+INT((MONTH($D$200)+3-1)/12),MOD(MONTH($D$200)+3-1,12)+1,1),'📋 Movimentações'!$B$15:$B$514,"&lt;="&amp;EOMONTH(DATE(YEAR($D$200)+INT((MONTH($D$200)+3-1)/12),MOD(MONTH($D$200)+3-1,12)+1,1),0),'📋 Movimentações'!$E$15:$E$514,"Saída",'📋 Movimentações'!$D$15:$D$514,"Compras")+SUMIFS('📋 Movimentações'!$F$15:$F$514,'📋 Movimentações'!$B$15:$B$514,"&gt;="&amp;DATE(YEAR($D$200)+INT((MONTH($D$200)+3-1)/12),MOD(MONTH($D$200)+3-1,12)+1,1),'📋 Movimentações'!$B$15:$B$514,"&lt;="&amp;EOMONTH(DATE(YEAR($D$200)+INT((MONTH($D$200)+3-1)/12),MOD(MONTH($D$200)+3-1,12)+1,1),0),'📋 Movimentações'!$E$15:$E$514,"Saída",'📋 Movimentações'!$D$15:$D$514,"Roupas"),0)</f>
        <v>0</v>
      </c>
      <c r="H68" s="36">
        <f>IFERROR(SUMIFS('📋 Movimentações'!$F$15:$F$514,'📋 Movimentações'!$B$15:$B$514,"&gt;="&amp;DATE(YEAR($D$200)+INT((MONTH($D$200)+4-1)/12),MOD(MONTH($D$200)+4-1,12)+1,1),'📋 Movimentações'!$B$15:$B$514,"&lt;="&amp;EOMONTH(DATE(YEAR($D$200)+INT((MONTH($D$200)+4-1)/12),MOD(MONTH($D$200)+4-1,12)+1,1),0),'📋 Movimentações'!$E$15:$E$514,"Saída",'📋 Movimentações'!$D$15:$D$514,"Compras")+SUMIFS('📋 Movimentações'!$F$15:$F$514,'📋 Movimentações'!$B$15:$B$514,"&gt;="&amp;DATE(YEAR($D$200)+INT((MONTH($D$200)+4-1)/12),MOD(MONTH($D$200)+4-1,12)+1,1),'📋 Movimentações'!$B$15:$B$514,"&lt;="&amp;EOMONTH(DATE(YEAR($D$200)+INT((MONTH($D$200)+4-1)/12),MOD(MONTH($D$200)+4-1,12)+1,1),0),'📋 Movimentações'!$E$15:$E$514,"Saída",'📋 Movimentações'!$D$15:$D$514,"Roupas"),0)</f>
        <v>0</v>
      </c>
      <c r="I68" s="36">
        <f>IFERROR(SUMIFS('📋 Movimentações'!$F$15:$F$514,'📋 Movimentações'!$B$15:$B$514,"&gt;="&amp;DATE(YEAR($D$200)+INT((MONTH($D$200)+5-1)/12),MOD(MONTH($D$200)+5-1,12)+1,1),'📋 Movimentações'!$B$15:$B$514,"&lt;="&amp;EOMONTH(DATE(YEAR($D$200)+INT((MONTH($D$200)+5-1)/12),MOD(MONTH($D$200)+5-1,12)+1,1),0),'📋 Movimentações'!$E$15:$E$514,"Saída",'📋 Movimentações'!$D$15:$D$514,"Compras")+SUMIFS('📋 Movimentações'!$F$15:$F$514,'📋 Movimentações'!$B$15:$B$514,"&gt;="&amp;DATE(YEAR($D$200)+INT((MONTH($D$200)+5-1)/12),MOD(MONTH($D$200)+5-1,12)+1,1),'📋 Movimentações'!$B$15:$B$514,"&lt;="&amp;EOMONTH(DATE(YEAR($D$200)+INT((MONTH($D$200)+5-1)/12),MOD(MONTH($D$200)+5-1,12)+1,1),0),'📋 Movimentações'!$E$15:$E$514,"Saída",'📋 Movimentações'!$D$15:$D$514,"Roupas"),0)</f>
        <v>0</v>
      </c>
      <c r="J68" s="37">
        <f t="shared" si="3"/>
        <v>0</v>
      </c>
      <c r="K68" s="14"/>
    </row>
    <row r="69" spans="1:11" ht="21.75" customHeight="1">
      <c r="A69" s="10"/>
      <c r="B69" s="11" t="s">
        <v>39</v>
      </c>
      <c r="C69" s="12" t="s">
        <v>8</v>
      </c>
      <c r="D69" s="35">
        <v>0</v>
      </c>
      <c r="E69" s="35">
        <v>0</v>
      </c>
      <c r="F69" s="35">
        <v>0</v>
      </c>
      <c r="G69" s="35">
        <v>0</v>
      </c>
      <c r="H69" s="35">
        <v>0</v>
      </c>
      <c r="I69" s="35">
        <v>0</v>
      </c>
      <c r="J69" s="35">
        <f t="shared" si="3"/>
        <v>0</v>
      </c>
      <c r="K69" s="10"/>
    </row>
    <row r="70" spans="1:11" ht="19.5" customHeight="1">
      <c r="A70" s="14"/>
      <c r="B70" s="15"/>
      <c r="C70" s="16" t="s">
        <v>9</v>
      </c>
      <c r="D70" s="36">
        <f>IFERROR(SUMIFS('📋 Movimentações'!$F$15:$F$514,'📋 Movimentações'!$B$15:$B$514,"&gt;="&amp;DATE(YEAR($D$200)+INT((MONTH($D$200)+0-1)/12),MOD(MONTH($D$200)+0-1,12)+1,1),'📋 Movimentações'!$B$15:$B$514,"&lt;="&amp;EOMONTH(DATE(YEAR($D$200)+INT((MONTH($D$200)+0-1)/12),MOD(MONTH($D$200)+0-1,12)+1,1),0),'📋 Movimentações'!$E$15:$E$514,"Saída",'📋 Movimentações'!$D$15:$D$514,"Remessa Brasil"),0)</f>
        <v>0</v>
      </c>
      <c r="E70" s="36">
        <f>IFERROR(SUMIFS('📋 Movimentações'!$F$15:$F$514,'📋 Movimentações'!$B$15:$B$514,"&gt;="&amp;DATE(YEAR($D$200)+INT((MONTH($D$200)+1-1)/12),MOD(MONTH($D$200)+1-1,12)+1,1),'📋 Movimentações'!$B$15:$B$514,"&lt;="&amp;EOMONTH(DATE(YEAR($D$200)+INT((MONTH($D$200)+1-1)/12),MOD(MONTH($D$200)+1-1,12)+1,1),0),'📋 Movimentações'!$E$15:$E$514,"Saída",'📋 Movimentações'!$D$15:$D$514,"Remessa Brasil"),0)</f>
        <v>0</v>
      </c>
      <c r="F70" s="36">
        <f>IFERROR(SUMIFS('📋 Movimentações'!$F$15:$F$514,'📋 Movimentações'!$B$15:$B$514,"&gt;="&amp;DATE(YEAR($D$200)+INT((MONTH($D$200)+2-1)/12),MOD(MONTH($D$200)+2-1,12)+1,1),'📋 Movimentações'!$B$15:$B$514,"&lt;="&amp;EOMONTH(DATE(YEAR($D$200)+INT((MONTH($D$200)+2-1)/12),MOD(MONTH($D$200)+2-1,12)+1,1),0),'📋 Movimentações'!$E$15:$E$514,"Saída",'📋 Movimentações'!$D$15:$D$514,"Remessa Brasil"),0)</f>
        <v>0</v>
      </c>
      <c r="G70" s="36">
        <f>IFERROR(SUMIFS('📋 Movimentações'!$F$15:$F$514,'📋 Movimentações'!$B$15:$B$514,"&gt;="&amp;DATE(YEAR($D$200)+INT((MONTH($D$200)+3-1)/12),MOD(MONTH($D$200)+3-1,12)+1,1),'📋 Movimentações'!$B$15:$B$514,"&lt;="&amp;EOMONTH(DATE(YEAR($D$200)+INT((MONTH($D$200)+3-1)/12),MOD(MONTH($D$200)+3-1,12)+1,1),0),'📋 Movimentações'!$E$15:$E$514,"Saída",'📋 Movimentações'!$D$15:$D$514,"Remessa Brasil"),0)</f>
        <v>0</v>
      </c>
      <c r="H70" s="36">
        <f>IFERROR(SUMIFS('📋 Movimentações'!$F$15:$F$514,'📋 Movimentações'!$B$15:$B$514,"&gt;="&amp;DATE(YEAR($D$200)+INT((MONTH($D$200)+4-1)/12),MOD(MONTH($D$200)+4-1,12)+1,1),'📋 Movimentações'!$B$15:$B$514,"&lt;="&amp;EOMONTH(DATE(YEAR($D$200)+INT((MONTH($D$200)+4-1)/12),MOD(MONTH($D$200)+4-1,12)+1,1),0),'📋 Movimentações'!$E$15:$E$514,"Saída",'📋 Movimentações'!$D$15:$D$514,"Remessa Brasil"),0)</f>
        <v>0</v>
      </c>
      <c r="I70" s="36">
        <f>IFERROR(SUMIFS('📋 Movimentações'!$F$15:$F$514,'📋 Movimentações'!$B$15:$B$514,"&gt;="&amp;DATE(YEAR($D$200)+INT((MONTH($D$200)+5-1)/12),MOD(MONTH($D$200)+5-1,12)+1,1),'📋 Movimentações'!$B$15:$B$514,"&lt;="&amp;EOMONTH(DATE(YEAR($D$200)+INT((MONTH($D$200)+5-1)/12),MOD(MONTH($D$200)+5-1,12)+1,1),0),'📋 Movimentações'!$E$15:$E$514,"Saída",'📋 Movimentações'!$D$15:$D$514,"Remessa Brasil"),0)</f>
        <v>0</v>
      </c>
      <c r="J70" s="37">
        <f t="shared" si="3"/>
        <v>0</v>
      </c>
      <c r="K70" s="14"/>
    </row>
    <row r="71" spans="1:11" ht="21.75" customHeight="1">
      <c r="A71" s="10"/>
      <c r="B71" s="11" t="s">
        <v>40</v>
      </c>
      <c r="C71" s="12" t="s">
        <v>8</v>
      </c>
      <c r="D71" s="35">
        <v>0</v>
      </c>
      <c r="E71" s="35">
        <v>0</v>
      </c>
      <c r="F71" s="35">
        <v>0</v>
      </c>
      <c r="G71" s="35">
        <v>0</v>
      </c>
      <c r="H71" s="35">
        <v>0</v>
      </c>
      <c r="I71" s="35">
        <v>0</v>
      </c>
      <c r="J71" s="35">
        <f t="shared" si="3"/>
        <v>0</v>
      </c>
      <c r="K71" s="10"/>
    </row>
    <row r="72" spans="1:11" ht="19.5" customHeight="1">
      <c r="A72" s="14"/>
      <c r="B72" s="15"/>
      <c r="C72" s="16" t="s">
        <v>9</v>
      </c>
      <c r="D72" s="36">
        <f>IFERROR(SUMIFS('📋 Movimentações'!$F$15:$F$514,'📋 Movimentações'!$B$15:$B$514,"&gt;="&amp;DATE(YEAR($D$200)+INT((MONTH($D$200)+0-1)/12),MOD(MONTH($D$200)+0-1,12)+1,1),'📋 Movimentações'!$B$15:$B$514,"&lt;="&amp;EOMONTH(DATE(YEAR($D$200)+INT((MONTH($D$200)+0-1)/12),MOD(MONTH($D$200)+0-1,12)+1,1),0),'📋 Movimentações'!$E$15:$E$514,"Saída",'📋 Movimentações'!$D$15:$D$514,"Igreja/Oferta"),0)</f>
        <v>0</v>
      </c>
      <c r="E72" s="36">
        <f>IFERROR(SUMIFS('📋 Movimentações'!$F$15:$F$514,'📋 Movimentações'!$B$15:$B$514,"&gt;="&amp;DATE(YEAR($D$200)+INT((MONTH($D$200)+1-1)/12),MOD(MONTH($D$200)+1-1,12)+1,1),'📋 Movimentações'!$B$15:$B$514,"&lt;="&amp;EOMONTH(DATE(YEAR($D$200)+INT((MONTH($D$200)+1-1)/12),MOD(MONTH($D$200)+1-1,12)+1,1),0),'📋 Movimentações'!$E$15:$E$514,"Saída",'📋 Movimentações'!$D$15:$D$514,"Igreja/Oferta"),0)</f>
        <v>0</v>
      </c>
      <c r="F72" s="36">
        <f>IFERROR(SUMIFS('📋 Movimentações'!$F$15:$F$514,'📋 Movimentações'!$B$15:$B$514,"&gt;="&amp;DATE(YEAR($D$200)+INT((MONTH($D$200)+2-1)/12),MOD(MONTH($D$200)+2-1,12)+1,1),'📋 Movimentações'!$B$15:$B$514,"&lt;="&amp;EOMONTH(DATE(YEAR($D$200)+INT((MONTH($D$200)+2-1)/12),MOD(MONTH($D$200)+2-1,12)+1,1),0),'📋 Movimentações'!$E$15:$E$514,"Saída",'📋 Movimentações'!$D$15:$D$514,"Igreja/Oferta"),0)</f>
        <v>0</v>
      </c>
      <c r="G72" s="36">
        <f>IFERROR(SUMIFS('📋 Movimentações'!$F$15:$F$514,'📋 Movimentações'!$B$15:$B$514,"&gt;="&amp;DATE(YEAR($D$200)+INT((MONTH($D$200)+3-1)/12),MOD(MONTH($D$200)+3-1,12)+1,1),'📋 Movimentações'!$B$15:$B$514,"&lt;="&amp;EOMONTH(DATE(YEAR($D$200)+INT((MONTH($D$200)+3-1)/12),MOD(MONTH($D$200)+3-1,12)+1,1),0),'📋 Movimentações'!$E$15:$E$514,"Saída",'📋 Movimentações'!$D$15:$D$514,"Igreja/Oferta"),0)</f>
        <v>0</v>
      </c>
      <c r="H72" s="36">
        <f>IFERROR(SUMIFS('📋 Movimentações'!$F$15:$F$514,'📋 Movimentações'!$B$15:$B$514,"&gt;="&amp;DATE(YEAR($D$200)+INT((MONTH($D$200)+4-1)/12),MOD(MONTH($D$200)+4-1,12)+1,1),'📋 Movimentações'!$B$15:$B$514,"&lt;="&amp;EOMONTH(DATE(YEAR($D$200)+INT((MONTH($D$200)+4-1)/12),MOD(MONTH($D$200)+4-1,12)+1,1),0),'📋 Movimentações'!$E$15:$E$514,"Saída",'📋 Movimentações'!$D$15:$D$514,"Igreja/Oferta"),0)</f>
        <v>0</v>
      </c>
      <c r="I72" s="36">
        <f>IFERROR(SUMIFS('📋 Movimentações'!$F$15:$F$514,'📋 Movimentações'!$B$15:$B$514,"&gt;="&amp;DATE(YEAR($D$200)+INT((MONTH($D$200)+5-1)/12),MOD(MONTH($D$200)+5-1,12)+1,1),'📋 Movimentações'!$B$15:$B$514,"&lt;="&amp;EOMONTH(DATE(YEAR($D$200)+INT((MONTH($D$200)+5-1)/12),MOD(MONTH($D$200)+5-1,12)+1,1),0),'📋 Movimentações'!$E$15:$E$514,"Saída",'📋 Movimentações'!$D$15:$D$514,"Igreja/Oferta"),0)</f>
        <v>0</v>
      </c>
      <c r="J72" s="37">
        <f t="shared" si="3"/>
        <v>0</v>
      </c>
      <c r="K72" s="14"/>
    </row>
    <row r="73" spans="1:11" ht="21.75" customHeight="1">
      <c r="A73" s="10"/>
      <c r="B73" s="11" t="s">
        <v>41</v>
      </c>
      <c r="C73" s="12" t="s">
        <v>8</v>
      </c>
      <c r="D73" s="35">
        <v>0</v>
      </c>
      <c r="E73" s="35">
        <v>0</v>
      </c>
      <c r="F73" s="35">
        <v>0</v>
      </c>
      <c r="G73" s="35">
        <v>0</v>
      </c>
      <c r="H73" s="35">
        <v>0</v>
      </c>
      <c r="I73" s="35">
        <v>0</v>
      </c>
      <c r="J73" s="35">
        <f t="shared" si="3"/>
        <v>0</v>
      </c>
      <c r="K73" s="10"/>
    </row>
    <row r="74" spans="1:11" ht="19.5" customHeight="1">
      <c r="A74" s="14"/>
      <c r="B74" s="15"/>
      <c r="C74" s="16" t="s">
        <v>9</v>
      </c>
      <c r="D74" s="36">
        <f>IFERROR(SUMIFS('📋 Movimentações'!$F$15:$F$514,'📋 Movimentações'!$B$15:$B$514,"&gt;="&amp;DATE(YEAR($D$200)+INT((MONTH($D$200)+0-1)/12),MOD(MONTH($D$200)+0-1,12)+1,1),'📋 Movimentações'!$B$15:$B$514,"&lt;="&amp;EOMONTH(DATE(YEAR($D$200)+INT((MONTH($D$200)+0-1)/12),MOD(MONTH($D$200)+0-1,12)+1,1),0),'📋 Movimentações'!$E$15:$E$514,"Saída",'📋 Movimentações'!$D$15:$D$514,"Emergência"),0)</f>
        <v>0</v>
      </c>
      <c r="E74" s="36">
        <f>IFERROR(SUMIFS('📋 Movimentações'!$F$15:$F$514,'📋 Movimentações'!$B$15:$B$514,"&gt;="&amp;DATE(YEAR($D$200)+INT((MONTH($D$200)+1-1)/12),MOD(MONTH($D$200)+1-1,12)+1,1),'📋 Movimentações'!$B$15:$B$514,"&lt;="&amp;EOMONTH(DATE(YEAR($D$200)+INT((MONTH($D$200)+1-1)/12),MOD(MONTH($D$200)+1-1,12)+1,1),0),'📋 Movimentações'!$E$15:$E$514,"Saída",'📋 Movimentações'!$D$15:$D$514,"Emergência"),0)</f>
        <v>0</v>
      </c>
      <c r="F74" s="36">
        <f>IFERROR(SUMIFS('📋 Movimentações'!$F$15:$F$514,'📋 Movimentações'!$B$15:$B$514,"&gt;="&amp;DATE(YEAR($D$200)+INT((MONTH($D$200)+2-1)/12),MOD(MONTH($D$200)+2-1,12)+1,1),'📋 Movimentações'!$B$15:$B$514,"&lt;="&amp;EOMONTH(DATE(YEAR($D$200)+INT((MONTH($D$200)+2-1)/12),MOD(MONTH($D$200)+2-1,12)+1,1),0),'📋 Movimentações'!$E$15:$E$514,"Saída",'📋 Movimentações'!$D$15:$D$514,"Emergência"),0)</f>
        <v>0</v>
      </c>
      <c r="G74" s="36">
        <f>IFERROR(SUMIFS('📋 Movimentações'!$F$15:$F$514,'📋 Movimentações'!$B$15:$B$514,"&gt;="&amp;DATE(YEAR($D$200)+INT((MONTH($D$200)+3-1)/12),MOD(MONTH($D$200)+3-1,12)+1,1),'📋 Movimentações'!$B$15:$B$514,"&lt;="&amp;EOMONTH(DATE(YEAR($D$200)+INT((MONTH($D$200)+3-1)/12),MOD(MONTH($D$200)+3-1,12)+1,1),0),'📋 Movimentações'!$E$15:$E$514,"Saída",'📋 Movimentações'!$D$15:$D$514,"Emergência"),0)</f>
        <v>0</v>
      </c>
      <c r="H74" s="36">
        <f>IFERROR(SUMIFS('📋 Movimentações'!$F$15:$F$514,'📋 Movimentações'!$B$15:$B$514,"&gt;="&amp;DATE(YEAR($D$200)+INT((MONTH($D$200)+4-1)/12),MOD(MONTH($D$200)+4-1,12)+1,1),'📋 Movimentações'!$B$15:$B$514,"&lt;="&amp;EOMONTH(DATE(YEAR($D$200)+INT((MONTH($D$200)+4-1)/12),MOD(MONTH($D$200)+4-1,12)+1,1),0),'📋 Movimentações'!$E$15:$E$514,"Saída",'📋 Movimentações'!$D$15:$D$514,"Emergência"),0)</f>
        <v>0</v>
      </c>
      <c r="I74" s="36">
        <f>IFERROR(SUMIFS('📋 Movimentações'!$F$15:$F$514,'📋 Movimentações'!$B$15:$B$514,"&gt;="&amp;DATE(YEAR($D$200)+INT((MONTH($D$200)+5-1)/12),MOD(MONTH($D$200)+5-1,12)+1,1),'📋 Movimentações'!$B$15:$B$514,"&lt;="&amp;EOMONTH(DATE(YEAR($D$200)+INT((MONTH($D$200)+5-1)/12),MOD(MONTH($D$200)+5-1,12)+1,1),0),'📋 Movimentações'!$E$15:$E$514,"Saída",'📋 Movimentações'!$D$15:$D$514,"Emergência"),0)</f>
        <v>0</v>
      </c>
      <c r="J74" s="37">
        <f t="shared" si="3"/>
        <v>0</v>
      </c>
      <c r="K74" s="14"/>
    </row>
    <row r="75" spans="1:11" ht="21.75" customHeight="1">
      <c r="A75" s="10"/>
      <c r="B75" s="11" t="s">
        <v>42</v>
      </c>
      <c r="C75" s="12" t="s">
        <v>8</v>
      </c>
      <c r="D75" s="35">
        <v>10000</v>
      </c>
      <c r="E75" s="35">
        <v>10000</v>
      </c>
      <c r="F75" s="35">
        <v>10000</v>
      </c>
      <c r="G75" s="35">
        <v>10000</v>
      </c>
      <c r="H75" s="35">
        <v>10000</v>
      </c>
      <c r="I75" s="35">
        <v>10000</v>
      </c>
      <c r="J75" s="35">
        <f t="shared" si="3"/>
        <v>60000</v>
      </c>
      <c r="K75" s="10"/>
    </row>
    <row r="76" spans="1:11" ht="19.5" customHeight="1">
      <c r="A76" s="14"/>
      <c r="B76" s="15"/>
      <c r="C76" s="16" t="s">
        <v>9</v>
      </c>
      <c r="D76" s="36">
        <f>IFERROR(SUMIFS('📋 Movimentações'!$F$15:$F$514,'📋 Movimentações'!$B$15:$B$514,"&gt;="&amp;DATE(YEAR($D$200)+INT((MONTH($D$200)+0-1)/12),MOD(MONTH($D$200)+0-1,12)+1,1),'📋 Movimentações'!$B$15:$B$514,"&lt;="&amp;EOMONTH(DATE(YEAR($D$200)+INT((MONTH($D$200)+0-1)/12),MOD(MONTH($D$200)+0-1,12)+1,1),0),'📋 Movimentações'!$E$15:$E$514,"Saída",'📋 Movimentações'!$D$15:$D$514,"Outros"),0)</f>
        <v>0</v>
      </c>
      <c r="E76" s="36">
        <f>IFERROR(SUMIFS('📋 Movimentações'!$F$15:$F$514,'📋 Movimentações'!$B$15:$B$514,"&gt;="&amp;DATE(YEAR($D$200)+INT((MONTH($D$200)+1-1)/12),MOD(MONTH($D$200)+1-1,12)+1,1),'📋 Movimentações'!$B$15:$B$514,"&lt;="&amp;EOMONTH(DATE(YEAR($D$200)+INT((MONTH($D$200)+1-1)/12),MOD(MONTH($D$200)+1-1,12)+1,1),0),'📋 Movimentações'!$E$15:$E$514,"Saída",'📋 Movimentações'!$D$15:$D$514,"Outros"),0)</f>
        <v>0</v>
      </c>
      <c r="F76" s="36">
        <f>IFERROR(SUMIFS('📋 Movimentações'!$F$15:$F$514,'📋 Movimentações'!$B$15:$B$514,"&gt;="&amp;DATE(YEAR($D$200)+INT((MONTH($D$200)+2-1)/12),MOD(MONTH($D$200)+2-1,12)+1,1),'📋 Movimentações'!$B$15:$B$514,"&lt;="&amp;EOMONTH(DATE(YEAR($D$200)+INT((MONTH($D$200)+2-1)/12),MOD(MONTH($D$200)+2-1,12)+1,1),0),'📋 Movimentações'!$E$15:$E$514,"Saída",'📋 Movimentações'!$D$15:$D$514,"Outros"),0)</f>
        <v>0</v>
      </c>
      <c r="G76" s="36">
        <f>IFERROR(SUMIFS('📋 Movimentações'!$F$15:$F$514,'📋 Movimentações'!$B$15:$B$514,"&gt;="&amp;DATE(YEAR($D$200)+INT((MONTH($D$200)+3-1)/12),MOD(MONTH($D$200)+3-1,12)+1,1),'📋 Movimentações'!$B$15:$B$514,"&lt;="&amp;EOMONTH(DATE(YEAR($D$200)+INT((MONTH($D$200)+3-1)/12),MOD(MONTH($D$200)+3-1,12)+1,1),0),'📋 Movimentações'!$E$15:$E$514,"Saída",'📋 Movimentações'!$D$15:$D$514,"Outros"),0)</f>
        <v>0</v>
      </c>
      <c r="H76" s="36">
        <f>IFERROR(SUMIFS('📋 Movimentações'!$F$15:$F$514,'📋 Movimentações'!$B$15:$B$514,"&gt;="&amp;DATE(YEAR($D$200)+INT((MONTH($D$200)+4-1)/12),MOD(MONTH($D$200)+4-1,12)+1,1),'📋 Movimentações'!$B$15:$B$514,"&lt;="&amp;EOMONTH(DATE(YEAR($D$200)+INT((MONTH($D$200)+4-1)/12),MOD(MONTH($D$200)+4-1,12)+1,1),0),'📋 Movimentações'!$E$15:$E$514,"Saída",'📋 Movimentações'!$D$15:$D$514,"Outros"),0)</f>
        <v>0</v>
      </c>
      <c r="I76" s="36">
        <f>IFERROR(SUMIFS('📋 Movimentações'!$F$15:$F$514,'📋 Movimentações'!$B$15:$B$514,"&gt;="&amp;DATE(YEAR($D$200)+INT((MONTH($D$200)+5-1)/12),MOD(MONTH($D$200)+5-1,12)+1,1),'📋 Movimentações'!$B$15:$B$514,"&lt;="&amp;EOMONTH(DATE(YEAR($D$200)+INT((MONTH($D$200)+5-1)/12),MOD(MONTH($D$200)+5-1,12)+1,1),0),'📋 Movimentações'!$E$15:$E$514,"Saída",'📋 Movimentações'!$D$15:$D$514,"Outros"),0)</f>
        <v>0</v>
      </c>
      <c r="J76" s="37">
        <f t="shared" si="3"/>
        <v>0</v>
      </c>
      <c r="K76" s="14"/>
    </row>
    <row r="77" spans="1:11" ht="24" customHeight="1">
      <c r="A77" s="4"/>
      <c r="B77" s="38" t="s">
        <v>43</v>
      </c>
      <c r="C77" s="39" t="s">
        <v>15</v>
      </c>
      <c r="D77" s="40">
        <f t="shared" ref="D77:I78" si="4">D57+D59+D61+D63+D65+D67+D69+D71+D73+D75</f>
        <v>10000</v>
      </c>
      <c r="E77" s="40">
        <f t="shared" si="4"/>
        <v>10000</v>
      </c>
      <c r="F77" s="40">
        <f t="shared" si="4"/>
        <v>10000</v>
      </c>
      <c r="G77" s="40">
        <f t="shared" si="4"/>
        <v>10000</v>
      </c>
      <c r="H77" s="40">
        <f t="shared" si="4"/>
        <v>10000</v>
      </c>
      <c r="I77" s="40">
        <f t="shared" si="4"/>
        <v>10000</v>
      </c>
      <c r="J77" s="40">
        <f>SUM(D77:I77)</f>
        <v>60000</v>
      </c>
      <c r="K77" s="4"/>
    </row>
    <row r="78" spans="1:11" ht="21.75" customHeight="1">
      <c r="A78" s="4"/>
      <c r="B78" s="22"/>
      <c r="C78" s="23" t="s">
        <v>9</v>
      </c>
      <c r="D78" s="24">
        <f t="shared" si="4"/>
        <v>0</v>
      </c>
      <c r="E78" s="24">
        <f t="shared" si="4"/>
        <v>0</v>
      </c>
      <c r="F78" s="24">
        <f t="shared" si="4"/>
        <v>0</v>
      </c>
      <c r="G78" s="24">
        <f t="shared" si="4"/>
        <v>0</v>
      </c>
      <c r="H78" s="24">
        <f t="shared" si="4"/>
        <v>0</v>
      </c>
      <c r="I78" s="24">
        <f t="shared" si="4"/>
        <v>0</v>
      </c>
      <c r="J78" s="24">
        <f>SUM(D78:I78)</f>
        <v>0</v>
      </c>
      <c r="K78" s="4"/>
    </row>
    <row r="79" spans="1:11" ht="7.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</row>
    <row r="80" spans="1:11" ht="3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 ht="21.75" customHeight="1">
      <c r="A81" s="4"/>
      <c r="B81" s="198" t="s">
        <v>44</v>
      </c>
      <c r="C81" s="198"/>
      <c r="D81" s="198"/>
      <c r="E81" s="198"/>
      <c r="F81" s="198"/>
      <c r="G81" s="198"/>
      <c r="H81" s="198"/>
      <c r="I81" s="198"/>
      <c r="J81" s="198"/>
      <c r="K81" s="198"/>
    </row>
    <row r="82" spans="1:11" ht="13.5" customHeight="1">
      <c r="A82" s="14"/>
      <c r="B82" s="199" t="s">
        <v>45</v>
      </c>
      <c r="C82" s="199"/>
      <c r="D82" s="199"/>
      <c r="E82" s="199"/>
      <c r="F82" s="199"/>
      <c r="G82" s="199"/>
      <c r="H82" s="199"/>
      <c r="I82" s="199"/>
      <c r="J82" s="199"/>
      <c r="K82" s="199"/>
    </row>
    <row r="83" spans="1:11" ht="21.75" customHeight="1">
      <c r="A83" s="10"/>
      <c r="B83" s="11" t="s">
        <v>46</v>
      </c>
      <c r="C83" s="41" t="s">
        <v>8</v>
      </c>
      <c r="D83" s="42">
        <f ca="1">IFERROR(IF('🎯 Metas'!I5="—",0,'🎯 Metas'!I5),0)</f>
        <v>500000</v>
      </c>
      <c r="E83" s="42">
        <f ca="1">IFERROR(IF('🎯 Metas'!I5="—",0,'🎯 Metas'!I5),0)</f>
        <v>500000</v>
      </c>
      <c r="F83" s="42">
        <f ca="1">IFERROR(IF('🎯 Metas'!I5="—",0,'🎯 Metas'!I5),0)</f>
        <v>500000</v>
      </c>
      <c r="G83" s="42">
        <f ca="1">IFERROR(IF('🎯 Metas'!I5="—",0,'🎯 Metas'!I5),0)</f>
        <v>500000</v>
      </c>
      <c r="H83" s="42">
        <f ca="1">IFERROR(IF('🎯 Metas'!I5="—",0,'🎯 Metas'!I5),0)</f>
        <v>500000</v>
      </c>
      <c r="I83" s="42">
        <f ca="1">IFERROR(IF('🎯 Metas'!I5="—",0,'🎯 Metas'!I5),0)</f>
        <v>500000</v>
      </c>
      <c r="J83" s="43">
        <f ca="1">IFERROR(IF('🎯 Metas'!I5="—",0,'🎯 Metas'!I5),0)*6</f>
        <v>3000000</v>
      </c>
      <c r="K83" s="10"/>
    </row>
    <row r="84" spans="1:11" ht="21.75" customHeight="1">
      <c r="A84" s="14"/>
      <c r="B84" s="44" t="s">
        <v>47</v>
      </c>
      <c r="C84" s="45" t="s">
        <v>9</v>
      </c>
      <c r="D84" s="46">
        <v>0</v>
      </c>
      <c r="E84" s="46">
        <v>0</v>
      </c>
      <c r="F84" s="46">
        <v>0</v>
      </c>
      <c r="G84" s="46">
        <v>0</v>
      </c>
      <c r="H84" s="46">
        <v>0</v>
      </c>
      <c r="I84" s="46">
        <v>0</v>
      </c>
      <c r="J84" s="21">
        <f>'🎯 Metas'!D5+SUM(D84,E84,F84,G84,H84,I84)</f>
        <v>0</v>
      </c>
      <c r="K84" s="14"/>
    </row>
    <row r="85" spans="1:11" ht="15.75" customHeight="1">
      <c r="A85" s="47"/>
      <c r="B85" s="48" t="s">
        <v>48</v>
      </c>
      <c r="C85" s="49" t="s">
        <v>49</v>
      </c>
      <c r="D85" s="50">
        <f>IFERROR((50000+D84)/500000,0)</f>
        <v>0.1</v>
      </c>
      <c r="E85" s="50">
        <f>IFERROR((50000+D84+E84)/500000,0)</f>
        <v>0.1</v>
      </c>
      <c r="F85" s="50">
        <f>IFERROR((50000+D84+E84+F84)/500000,0)</f>
        <v>0.1</v>
      </c>
      <c r="G85" s="50">
        <f>IFERROR((50000+D84+E84+F84+G84)/500000,0)</f>
        <v>0.1</v>
      </c>
      <c r="H85" s="50">
        <f>IFERROR((50000+D84+E84+F84+G84+H84)/500000,0)</f>
        <v>0.1</v>
      </c>
      <c r="I85" s="50">
        <f>IFERROR((50000+D84+E84+F84+G84+H84+I84)/500000,0)</f>
        <v>0.1</v>
      </c>
      <c r="J85" s="51">
        <f>IFERROR(J84/500000,0)</f>
        <v>0</v>
      </c>
      <c r="K85" s="47"/>
    </row>
    <row r="86" spans="1:11" ht="21.75" customHeight="1">
      <c r="A86" s="10"/>
      <c r="B86" s="195" t="s">
        <v>256</v>
      </c>
      <c r="C86" s="41" t="s">
        <v>8</v>
      </c>
      <c r="D86" s="42">
        <f ca="1">IFERROR(IF('🎯 Metas'!I6="—",0,'🎯 Metas'!I6),0)</f>
        <v>0</v>
      </c>
      <c r="E86" s="42">
        <f ca="1">IFERROR(IF('🎯 Metas'!I6="—",0,'🎯 Metas'!I6),0)</f>
        <v>0</v>
      </c>
      <c r="F86" s="42">
        <f ca="1">IFERROR(IF('🎯 Metas'!I6="—",0,'🎯 Metas'!I6),0)</f>
        <v>0</v>
      </c>
      <c r="G86" s="42">
        <f ca="1">IFERROR(IF('🎯 Metas'!I6="—",0,'🎯 Metas'!I6),0)</f>
        <v>0</v>
      </c>
      <c r="H86" s="42">
        <f ca="1">IFERROR(IF('🎯 Metas'!I6="—",0,'🎯 Metas'!I6),0)</f>
        <v>0</v>
      </c>
      <c r="I86" s="42">
        <f ca="1">IFERROR(IF('🎯 Metas'!I6="—",0,'🎯 Metas'!I6),0)</f>
        <v>0</v>
      </c>
      <c r="J86" s="43">
        <f ca="1">IFERROR(IF('🎯 Metas'!I6="—",0,'🎯 Metas'!I6),0)*6</f>
        <v>0</v>
      </c>
      <c r="K86" s="10"/>
    </row>
    <row r="87" spans="1:11" ht="21.75" customHeight="1">
      <c r="A87" s="14"/>
      <c r="B87" s="44" t="s">
        <v>47</v>
      </c>
      <c r="C87" s="45" t="s">
        <v>9</v>
      </c>
      <c r="D87" s="46">
        <v>0</v>
      </c>
      <c r="E87" s="46">
        <v>0</v>
      </c>
      <c r="F87" s="46">
        <v>0</v>
      </c>
      <c r="G87" s="46">
        <v>0</v>
      </c>
      <c r="H87" s="46">
        <v>0</v>
      </c>
      <c r="I87" s="46">
        <v>0</v>
      </c>
      <c r="J87" s="21">
        <f>'🎯 Metas'!D6+SUM(D87,E87,F87,G87,H87,I87)</f>
        <v>0</v>
      </c>
      <c r="K87" s="14"/>
    </row>
    <row r="88" spans="1:11" ht="15.75" customHeight="1">
      <c r="A88" s="47"/>
      <c r="B88" s="48" t="s">
        <v>51</v>
      </c>
      <c r="C88" s="49" t="s">
        <v>49</v>
      </c>
      <c r="D88" s="50">
        <f>IFERROR((30000+D87)/300000,0)</f>
        <v>0.1</v>
      </c>
      <c r="E88" s="50">
        <f>IFERROR((30000+D87+E87)/300000,0)</f>
        <v>0.1</v>
      </c>
      <c r="F88" s="50">
        <f>IFERROR((30000+D87+E87+F87)/300000,0)</f>
        <v>0.1</v>
      </c>
      <c r="G88" s="50">
        <f>IFERROR((30000+D87+E87+F87+G87)/300000,0)</f>
        <v>0.1</v>
      </c>
      <c r="H88" s="50">
        <f>IFERROR((30000+D87+E87+F87+G87+H87)/300000,0)</f>
        <v>0.1</v>
      </c>
      <c r="I88" s="50">
        <f>IFERROR((30000+D87+E87+F87+G87+H87+I87)/300000,0)</f>
        <v>0.1</v>
      </c>
      <c r="J88" s="51">
        <f>IFERROR(J87/300000,0)</f>
        <v>0</v>
      </c>
      <c r="K88" s="47"/>
    </row>
    <row r="89" spans="1:11" ht="21.75" customHeight="1">
      <c r="A89" s="10"/>
      <c r="B89" s="11" t="s">
        <v>52</v>
      </c>
      <c r="C89" s="41" t="s">
        <v>8</v>
      </c>
      <c r="D89" s="42">
        <f ca="1">IFERROR(IF('🎯 Metas'!I7="—",0,'🎯 Metas'!I7),0)</f>
        <v>0</v>
      </c>
      <c r="E89" s="42">
        <f ca="1">IFERROR(IF('🎯 Metas'!I7="—",0,'🎯 Metas'!I7),0)</f>
        <v>0</v>
      </c>
      <c r="F89" s="42">
        <f ca="1">IFERROR(IF('🎯 Metas'!I7="—",0,'🎯 Metas'!I7),0)</f>
        <v>0</v>
      </c>
      <c r="G89" s="42">
        <f ca="1">IFERROR(IF('🎯 Metas'!I7="—",0,'🎯 Metas'!I7),0)</f>
        <v>0</v>
      </c>
      <c r="H89" s="42">
        <f ca="1">IFERROR(IF('🎯 Metas'!I7="—",0,'🎯 Metas'!I7),0)</f>
        <v>0</v>
      </c>
      <c r="I89" s="42">
        <f ca="1">IFERROR(IF('🎯 Metas'!I7="—",0,'🎯 Metas'!I7),0)</f>
        <v>0</v>
      </c>
      <c r="J89" s="43">
        <f ca="1">IFERROR(IF('🎯 Metas'!I7="—",0,'🎯 Metas'!I7),0)*6</f>
        <v>0</v>
      </c>
      <c r="K89" s="10"/>
    </row>
    <row r="90" spans="1:11" ht="21.75" customHeight="1">
      <c r="A90" s="14"/>
      <c r="B90" s="44" t="s">
        <v>47</v>
      </c>
      <c r="C90" s="45" t="s">
        <v>9</v>
      </c>
      <c r="D90" s="46">
        <v>0</v>
      </c>
      <c r="E90" s="46">
        <v>0</v>
      </c>
      <c r="F90" s="46">
        <v>0</v>
      </c>
      <c r="G90" s="46">
        <v>0</v>
      </c>
      <c r="H90" s="46">
        <v>0</v>
      </c>
      <c r="I90" s="46">
        <v>0</v>
      </c>
      <c r="J90" s="21">
        <f>'🎯 Metas'!D7+SUM(D90,E90,F90,G90,H90,I90)</f>
        <v>0</v>
      </c>
      <c r="K90" s="14"/>
    </row>
    <row r="91" spans="1:11" ht="15.75" customHeight="1">
      <c r="A91" s="47"/>
      <c r="B91" s="48" t="s">
        <v>53</v>
      </c>
      <c r="C91" s="49" t="s">
        <v>49</v>
      </c>
      <c r="D91" s="50">
        <f>IFERROR((80000+D90)/800000,0)</f>
        <v>0.1</v>
      </c>
      <c r="E91" s="50">
        <f>IFERROR((80000+D90+E90)/800000,0)</f>
        <v>0.1</v>
      </c>
      <c r="F91" s="50">
        <f>IFERROR((80000+D90+E90+F90)/800000,0)</f>
        <v>0.1</v>
      </c>
      <c r="G91" s="50">
        <f>IFERROR((80000+D90+E90+F90+G90)/800000,0)</f>
        <v>0.1</v>
      </c>
      <c r="H91" s="50">
        <f>IFERROR((80000+D90+E90+F90+G90+H90)/800000,0)</f>
        <v>0.1</v>
      </c>
      <c r="I91" s="50">
        <f>IFERROR((80000+D90+E90+F90+G90+H90+I90)/800000,0)</f>
        <v>0.1</v>
      </c>
      <c r="J91" s="51">
        <f>IFERROR(J90/800000,0)</f>
        <v>0</v>
      </c>
      <c r="K91" s="47"/>
    </row>
    <row r="92" spans="1:11" ht="21.75" customHeight="1">
      <c r="A92" s="10"/>
      <c r="B92" s="11" t="s">
        <v>54</v>
      </c>
      <c r="C92" s="41" t="s">
        <v>8</v>
      </c>
      <c r="D92" s="42">
        <f ca="1">IFERROR(IF('🎯 Metas'!I8="—",0,'🎯 Metas'!I8),0)</f>
        <v>0</v>
      </c>
      <c r="E92" s="42">
        <f ca="1">IFERROR(IF('🎯 Metas'!I8="—",0,'🎯 Metas'!I8),0)</f>
        <v>0</v>
      </c>
      <c r="F92" s="42">
        <f ca="1">IFERROR(IF('🎯 Metas'!I8="—",0,'🎯 Metas'!I8),0)</f>
        <v>0</v>
      </c>
      <c r="G92" s="42">
        <f ca="1">IFERROR(IF('🎯 Metas'!I8="—",0,'🎯 Metas'!I8),0)</f>
        <v>0</v>
      </c>
      <c r="H92" s="42">
        <f ca="1">IFERROR(IF('🎯 Metas'!I8="—",0,'🎯 Metas'!I8),0)</f>
        <v>0</v>
      </c>
      <c r="I92" s="42">
        <f ca="1">IFERROR(IF('🎯 Metas'!I8="—",0,'🎯 Metas'!I8),0)</f>
        <v>0</v>
      </c>
      <c r="J92" s="43">
        <f ca="1">IFERROR(IF('🎯 Metas'!I8="—",0,'🎯 Metas'!I8),0)*6</f>
        <v>0</v>
      </c>
      <c r="K92" s="10"/>
    </row>
    <row r="93" spans="1:11" ht="21.75" customHeight="1">
      <c r="A93" s="14"/>
      <c r="B93" s="44" t="s">
        <v>47</v>
      </c>
      <c r="C93" s="45" t="s">
        <v>9</v>
      </c>
      <c r="D93" s="46">
        <v>0</v>
      </c>
      <c r="E93" s="46">
        <v>0</v>
      </c>
      <c r="F93" s="46">
        <v>0</v>
      </c>
      <c r="G93" s="46">
        <v>0</v>
      </c>
      <c r="H93" s="46">
        <v>0</v>
      </c>
      <c r="I93" s="46">
        <v>0</v>
      </c>
      <c r="J93" s="21">
        <f>'🎯 Metas'!D8+SUM(D93,E93,F93,G93,H93,I93)</f>
        <v>0</v>
      </c>
      <c r="K93" s="14"/>
    </row>
    <row r="94" spans="1:11" ht="15.75" customHeight="1">
      <c r="A94" s="47"/>
      <c r="B94" s="48" t="s">
        <v>55</v>
      </c>
      <c r="C94" s="49" t="s">
        <v>49</v>
      </c>
      <c r="D94" s="50">
        <f>IFERROR((0+D93)/200000,0)</f>
        <v>0</v>
      </c>
      <c r="E94" s="50">
        <f>IFERROR((0+D93+E93)/200000,0)</f>
        <v>0</v>
      </c>
      <c r="F94" s="50">
        <f>IFERROR((0+D93+E93+F93)/200000,0)</f>
        <v>0</v>
      </c>
      <c r="G94" s="50">
        <f>IFERROR((0+D93+E93+F93+G93)/200000,0)</f>
        <v>0</v>
      </c>
      <c r="H94" s="50">
        <f>IFERROR((0+D93+E93+F93+G93+H93)/200000,0)</f>
        <v>0</v>
      </c>
      <c r="I94" s="50">
        <f>IFERROR((0+D93+E93+F93+G93+H93+I93)/200000,0)</f>
        <v>0</v>
      </c>
      <c r="J94" s="51">
        <f>IFERROR(J93/200000,0)</f>
        <v>0</v>
      </c>
      <c r="K94" s="47"/>
    </row>
    <row r="95" spans="1:11" ht="21.75" customHeight="1">
      <c r="A95" s="10"/>
      <c r="B95" s="11" t="s">
        <v>56</v>
      </c>
      <c r="C95" s="41" t="s">
        <v>8</v>
      </c>
      <c r="D95" s="42">
        <f ca="1">IFERROR(IF('🎯 Metas'!I9="—",0,'🎯 Metas'!I9),0)</f>
        <v>0</v>
      </c>
      <c r="E95" s="42">
        <f ca="1">IFERROR(IF('🎯 Metas'!I9="—",0,'🎯 Metas'!I9),0)</f>
        <v>0</v>
      </c>
      <c r="F95" s="42">
        <f ca="1">IFERROR(IF('🎯 Metas'!I9="—",0,'🎯 Metas'!I9),0)</f>
        <v>0</v>
      </c>
      <c r="G95" s="42">
        <f ca="1">IFERROR(IF('🎯 Metas'!I9="—",0,'🎯 Metas'!I9),0)</f>
        <v>0</v>
      </c>
      <c r="H95" s="42">
        <f ca="1">IFERROR(IF('🎯 Metas'!I9="—",0,'🎯 Metas'!I9),0)</f>
        <v>0</v>
      </c>
      <c r="I95" s="42">
        <f ca="1">IFERROR(IF('🎯 Metas'!I9="—",0,'🎯 Metas'!I9),0)</f>
        <v>0</v>
      </c>
      <c r="J95" s="43">
        <f ca="1">IFERROR(IF('🎯 Metas'!I9="—",0,'🎯 Metas'!I9),0)*6</f>
        <v>0</v>
      </c>
      <c r="K95" s="10"/>
    </row>
    <row r="96" spans="1:11" ht="21.75" customHeight="1">
      <c r="A96" s="14"/>
      <c r="B96" s="44" t="s">
        <v>47</v>
      </c>
      <c r="C96" s="45" t="s">
        <v>9</v>
      </c>
      <c r="D96" s="46">
        <v>0</v>
      </c>
      <c r="E96" s="46">
        <v>0</v>
      </c>
      <c r="F96" s="46">
        <v>0</v>
      </c>
      <c r="G96" s="46">
        <v>0</v>
      </c>
      <c r="H96" s="46">
        <v>0</v>
      </c>
      <c r="I96" s="46">
        <v>0</v>
      </c>
      <c r="J96" s="21">
        <f>'🎯 Metas'!D9+SUM(D96,E96,F96,G96,H96,I96)</f>
        <v>0</v>
      </c>
      <c r="K96" s="14"/>
    </row>
    <row r="97" spans="1:11" ht="15.75" customHeight="1">
      <c r="A97" s="47"/>
      <c r="B97" s="48" t="s">
        <v>57</v>
      </c>
      <c r="C97" s="49" t="s">
        <v>49</v>
      </c>
      <c r="D97" s="50">
        <f>IFERROR((100000+D96)/1000000,0)</f>
        <v>0.1</v>
      </c>
      <c r="E97" s="50">
        <f>IFERROR((100000+D96+E96)/1000000,0)</f>
        <v>0.1</v>
      </c>
      <c r="F97" s="50">
        <f>IFERROR((100000+D96+E96+F96)/1000000,0)</f>
        <v>0.1</v>
      </c>
      <c r="G97" s="50">
        <f>IFERROR((100000+D96+E96+F96+G96)/1000000,0)</f>
        <v>0.1</v>
      </c>
      <c r="H97" s="50">
        <f>IFERROR((100000+D96+E96+F96+G96+H96)/1000000,0)</f>
        <v>0.1</v>
      </c>
      <c r="I97" s="50">
        <f>IFERROR((100000+D96+E96+F96+G96+H96+I96)/1000000,0)</f>
        <v>0.1</v>
      </c>
      <c r="J97" s="51">
        <f>IFERROR(J96/1000000,0)</f>
        <v>0</v>
      </c>
      <c r="K97" s="47"/>
    </row>
    <row r="98" spans="1:11" ht="21.75" customHeight="1">
      <c r="A98" s="10"/>
      <c r="B98" s="11" t="s">
        <v>58</v>
      </c>
      <c r="C98" s="41" t="s">
        <v>8</v>
      </c>
      <c r="D98" s="42">
        <f ca="1">IFERROR(IF('🎯 Metas'!I10="—",0,'🎯 Metas'!I10),0)</f>
        <v>0</v>
      </c>
      <c r="E98" s="42">
        <f ca="1">IFERROR(IF('🎯 Metas'!I10="—",0,'🎯 Metas'!I10),0)</f>
        <v>0</v>
      </c>
      <c r="F98" s="42">
        <f ca="1">IFERROR(IF('🎯 Metas'!I10="—",0,'🎯 Metas'!I10),0)</f>
        <v>0</v>
      </c>
      <c r="G98" s="42">
        <f ca="1">IFERROR(IF('🎯 Metas'!I10="—",0,'🎯 Metas'!I10),0)</f>
        <v>0</v>
      </c>
      <c r="H98" s="42">
        <f ca="1">IFERROR(IF('🎯 Metas'!I10="—",0,'🎯 Metas'!I10),0)</f>
        <v>0</v>
      </c>
      <c r="I98" s="42">
        <f ca="1">IFERROR(IF('🎯 Metas'!I10="—",0,'🎯 Metas'!I10),0)</f>
        <v>0</v>
      </c>
      <c r="J98" s="43">
        <f ca="1">IFERROR(IF('🎯 Metas'!I10="—",0,'🎯 Metas'!I10),0)*6</f>
        <v>0</v>
      </c>
      <c r="K98" s="10"/>
    </row>
    <row r="99" spans="1:11" ht="21.75" customHeight="1">
      <c r="A99" s="14"/>
      <c r="B99" s="44" t="s">
        <v>47</v>
      </c>
      <c r="C99" s="45" t="s">
        <v>9</v>
      </c>
      <c r="D99" s="46">
        <v>0</v>
      </c>
      <c r="E99" s="46">
        <v>0</v>
      </c>
      <c r="F99" s="46">
        <v>0</v>
      </c>
      <c r="G99" s="46">
        <v>0</v>
      </c>
      <c r="H99" s="46">
        <v>0</v>
      </c>
      <c r="I99" s="46">
        <v>0</v>
      </c>
      <c r="J99" s="21">
        <f>'🎯 Metas'!D10+SUM(D99,E99,F99,G99,H99,I99)</f>
        <v>0</v>
      </c>
      <c r="K99" s="14"/>
    </row>
    <row r="100" spans="1:11" ht="15.75" customHeight="1">
      <c r="A100" s="47"/>
      <c r="B100" s="48" t="s">
        <v>59</v>
      </c>
      <c r="C100" s="49" t="s">
        <v>49</v>
      </c>
      <c r="D100" s="50">
        <v>0</v>
      </c>
      <c r="E100" s="50">
        <v>0</v>
      </c>
      <c r="F100" s="50">
        <v>0</v>
      </c>
      <c r="G100" s="50">
        <v>0</v>
      </c>
      <c r="H100" s="50">
        <v>0</v>
      </c>
      <c r="I100" s="50">
        <v>0</v>
      </c>
      <c r="J100" s="51">
        <v>0</v>
      </c>
      <c r="K100" s="47"/>
    </row>
    <row r="101" spans="1:11" ht="21.75" customHeight="1">
      <c r="A101" s="10"/>
      <c r="B101" s="11" t="s">
        <v>60</v>
      </c>
      <c r="C101" s="41" t="s">
        <v>8</v>
      </c>
      <c r="D101" s="42">
        <f ca="1">IFERROR(IF('🎯 Metas'!I11="—",0,'🎯 Metas'!I11),0)</f>
        <v>0</v>
      </c>
      <c r="E101" s="42">
        <f ca="1">IFERROR(IF('🎯 Metas'!I11="—",0,'🎯 Metas'!I11),0)</f>
        <v>0</v>
      </c>
      <c r="F101" s="42">
        <f ca="1">IFERROR(IF('🎯 Metas'!I11="—",0,'🎯 Metas'!I11),0)</f>
        <v>0</v>
      </c>
      <c r="G101" s="42">
        <f ca="1">IFERROR(IF('🎯 Metas'!I11="—",0,'🎯 Metas'!I11),0)</f>
        <v>0</v>
      </c>
      <c r="H101" s="42">
        <f ca="1">IFERROR(IF('🎯 Metas'!I11="—",0,'🎯 Metas'!I11),0)</f>
        <v>0</v>
      </c>
      <c r="I101" s="42">
        <f ca="1">IFERROR(IF('🎯 Metas'!I11="—",0,'🎯 Metas'!I11),0)</f>
        <v>0</v>
      </c>
      <c r="J101" s="43">
        <f ca="1">IFERROR(IF('🎯 Metas'!I11="—",0,'🎯 Metas'!I11),0)*6</f>
        <v>0</v>
      </c>
      <c r="K101" s="10"/>
    </row>
    <row r="102" spans="1:11" ht="21.75" customHeight="1">
      <c r="A102" s="14"/>
      <c r="B102" s="44" t="s">
        <v>47</v>
      </c>
      <c r="C102" s="45" t="s">
        <v>9</v>
      </c>
      <c r="D102" s="46">
        <v>0</v>
      </c>
      <c r="E102" s="46">
        <v>0</v>
      </c>
      <c r="F102" s="46">
        <v>0</v>
      </c>
      <c r="G102" s="46">
        <v>0</v>
      </c>
      <c r="H102" s="46">
        <v>0</v>
      </c>
      <c r="I102" s="46">
        <v>0</v>
      </c>
      <c r="J102" s="21">
        <f>'🎯 Metas'!D11+SUM(D102,E102,F102,G102,H102,I102)</f>
        <v>0</v>
      </c>
      <c r="K102" s="14"/>
    </row>
    <row r="103" spans="1:11" ht="15.75" customHeight="1">
      <c r="A103" s="47"/>
      <c r="B103" s="48" t="s">
        <v>59</v>
      </c>
      <c r="C103" s="49" t="s">
        <v>49</v>
      </c>
      <c r="D103" s="50">
        <v>0</v>
      </c>
      <c r="E103" s="50">
        <v>0</v>
      </c>
      <c r="F103" s="50">
        <v>0</v>
      </c>
      <c r="G103" s="50">
        <v>0</v>
      </c>
      <c r="H103" s="50">
        <v>0</v>
      </c>
      <c r="I103" s="50">
        <v>0</v>
      </c>
      <c r="J103" s="51">
        <v>0</v>
      </c>
      <c r="K103" s="47"/>
    </row>
    <row r="104" spans="1:11" ht="21.75" customHeight="1">
      <c r="A104" s="10"/>
      <c r="B104" s="11" t="s">
        <v>61</v>
      </c>
      <c r="C104" s="41" t="s">
        <v>8</v>
      </c>
      <c r="D104" s="42">
        <f ca="1">IFERROR(IF('🎯 Metas'!I12="—",0,'🎯 Metas'!I12),0)</f>
        <v>0</v>
      </c>
      <c r="E104" s="42">
        <f ca="1">IFERROR(IF('🎯 Metas'!I12="—",0,'🎯 Metas'!I12),0)</f>
        <v>0</v>
      </c>
      <c r="F104" s="42">
        <f ca="1">IFERROR(IF('🎯 Metas'!I12="—",0,'🎯 Metas'!I12),0)</f>
        <v>0</v>
      </c>
      <c r="G104" s="42">
        <f ca="1">IFERROR(IF('🎯 Metas'!I12="—",0,'🎯 Metas'!I12),0)</f>
        <v>0</v>
      </c>
      <c r="H104" s="42">
        <f ca="1">IFERROR(IF('🎯 Metas'!I12="—",0,'🎯 Metas'!I12),0)</f>
        <v>0</v>
      </c>
      <c r="I104" s="42">
        <f ca="1">IFERROR(IF('🎯 Metas'!I12="—",0,'🎯 Metas'!I12),0)</f>
        <v>0</v>
      </c>
      <c r="J104" s="43">
        <f ca="1">IFERROR(IF('🎯 Metas'!I12="—",0,'🎯 Metas'!I12),0)*6</f>
        <v>0</v>
      </c>
      <c r="K104" s="10"/>
    </row>
    <row r="105" spans="1:11" ht="21.75" customHeight="1">
      <c r="A105" s="14"/>
      <c r="B105" s="44" t="s">
        <v>47</v>
      </c>
      <c r="C105" s="45" t="s">
        <v>9</v>
      </c>
      <c r="D105" s="46">
        <v>0</v>
      </c>
      <c r="E105" s="46">
        <v>0</v>
      </c>
      <c r="F105" s="46">
        <v>0</v>
      </c>
      <c r="G105" s="46">
        <v>0</v>
      </c>
      <c r="H105" s="46">
        <v>0</v>
      </c>
      <c r="I105" s="46">
        <v>0</v>
      </c>
      <c r="J105" s="21">
        <f>'🎯 Metas'!D12+SUM(D105,E105,F105,G105,H105,I105)</f>
        <v>0</v>
      </c>
      <c r="K105" s="14"/>
    </row>
    <row r="106" spans="1:11" ht="15.75" customHeight="1">
      <c r="A106" s="47"/>
      <c r="B106" s="48" t="s">
        <v>59</v>
      </c>
      <c r="C106" s="49" t="s">
        <v>49</v>
      </c>
      <c r="D106" s="50">
        <v>0</v>
      </c>
      <c r="E106" s="50">
        <v>0</v>
      </c>
      <c r="F106" s="50">
        <v>0</v>
      </c>
      <c r="G106" s="50">
        <v>0</v>
      </c>
      <c r="H106" s="50">
        <v>0</v>
      </c>
      <c r="I106" s="50">
        <v>0</v>
      </c>
      <c r="J106" s="51">
        <v>0</v>
      </c>
      <c r="K106" s="47"/>
    </row>
    <row r="107" spans="1:11" ht="7.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</row>
    <row r="108" spans="1:11" ht="3" customHeight="1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</row>
    <row r="109" spans="1:11" ht="21.75" customHeight="1">
      <c r="A109" s="4"/>
      <c r="B109" s="200" t="s">
        <v>62</v>
      </c>
      <c r="C109" s="200"/>
      <c r="D109" s="200"/>
      <c r="E109" s="200"/>
      <c r="F109" s="200"/>
      <c r="G109" s="200"/>
      <c r="H109" s="200"/>
      <c r="I109" s="200"/>
      <c r="J109" s="200"/>
      <c r="K109" s="200"/>
    </row>
    <row r="110" spans="1:11" ht="21.75" customHeight="1">
      <c r="A110" s="47"/>
      <c r="B110" s="53" t="s">
        <v>63</v>
      </c>
      <c r="C110" s="54" t="s">
        <v>64</v>
      </c>
      <c r="D110" s="55">
        <f t="shared" ref="D110:I110" si="5">D20</f>
        <v>429000</v>
      </c>
      <c r="E110" s="55">
        <f t="shared" si="5"/>
        <v>0</v>
      </c>
      <c r="F110" s="55">
        <f t="shared" si="5"/>
        <v>0</v>
      </c>
      <c r="G110" s="55">
        <f t="shared" si="5"/>
        <v>0</v>
      </c>
      <c r="H110" s="55">
        <f t="shared" si="5"/>
        <v>0</v>
      </c>
      <c r="I110" s="55">
        <f t="shared" si="5"/>
        <v>0</v>
      </c>
      <c r="J110" s="56">
        <f t="shared" ref="J110:J115" si="6">SUM(D110,E110,F110,G110,H110,I110)</f>
        <v>429000</v>
      </c>
      <c r="K110" s="47"/>
    </row>
    <row r="111" spans="1:11" ht="21.75" customHeight="1">
      <c r="A111" s="14"/>
      <c r="B111" s="57" t="s">
        <v>65</v>
      </c>
      <c r="C111" s="58" t="s">
        <v>64</v>
      </c>
      <c r="D111" s="59">
        <f t="shared" ref="D111:I111" si="7">D53</f>
        <v>68412</v>
      </c>
      <c r="E111" s="59">
        <f t="shared" si="7"/>
        <v>0</v>
      </c>
      <c r="F111" s="59">
        <f t="shared" si="7"/>
        <v>0</v>
      </c>
      <c r="G111" s="59">
        <f t="shared" si="7"/>
        <v>0</v>
      </c>
      <c r="H111" s="59">
        <f t="shared" si="7"/>
        <v>0</v>
      </c>
      <c r="I111" s="59">
        <f t="shared" si="7"/>
        <v>0</v>
      </c>
      <c r="J111" s="56">
        <f t="shared" si="6"/>
        <v>68412</v>
      </c>
      <c r="K111" s="14"/>
    </row>
    <row r="112" spans="1:11" ht="21.75" customHeight="1">
      <c r="A112" s="47"/>
      <c r="B112" s="60" t="s">
        <v>66</v>
      </c>
      <c r="C112" s="54" t="s">
        <v>64</v>
      </c>
      <c r="D112" s="61">
        <f t="shared" ref="D112:I112" si="8">D78</f>
        <v>0</v>
      </c>
      <c r="E112" s="61">
        <f t="shared" si="8"/>
        <v>0</v>
      </c>
      <c r="F112" s="61">
        <f t="shared" si="8"/>
        <v>0</v>
      </c>
      <c r="G112" s="61">
        <f t="shared" si="8"/>
        <v>0</v>
      </c>
      <c r="H112" s="61">
        <f t="shared" si="8"/>
        <v>0</v>
      </c>
      <c r="I112" s="61">
        <f t="shared" si="8"/>
        <v>0</v>
      </c>
      <c r="J112" s="56">
        <f t="shared" si="6"/>
        <v>0</v>
      </c>
      <c r="K112" s="47"/>
    </row>
    <row r="113" spans="1:11" ht="21.75" customHeight="1">
      <c r="A113" s="14"/>
      <c r="B113" s="62" t="s">
        <v>67</v>
      </c>
      <c r="C113" s="58" t="s">
        <v>64</v>
      </c>
      <c r="D113" s="63">
        <f t="shared" ref="D113:I113" si="9">D111+D112</f>
        <v>68412</v>
      </c>
      <c r="E113" s="63">
        <f t="shared" si="9"/>
        <v>0</v>
      </c>
      <c r="F113" s="63">
        <f t="shared" si="9"/>
        <v>0</v>
      </c>
      <c r="G113" s="63">
        <f t="shared" si="9"/>
        <v>0</v>
      </c>
      <c r="H113" s="63">
        <f t="shared" si="9"/>
        <v>0</v>
      </c>
      <c r="I113" s="63">
        <f t="shared" si="9"/>
        <v>0</v>
      </c>
      <c r="J113" s="56">
        <f t="shared" si="6"/>
        <v>68412</v>
      </c>
      <c r="K113" s="14"/>
    </row>
    <row r="114" spans="1:11" ht="21.75" customHeight="1">
      <c r="A114" s="47"/>
      <c r="B114" s="64" t="s">
        <v>68</v>
      </c>
      <c r="C114" s="54" t="s">
        <v>64</v>
      </c>
      <c r="D114" s="65">
        <f t="shared" ref="D114:I114" si="10">D110-D113</f>
        <v>360588</v>
      </c>
      <c r="E114" s="65">
        <f t="shared" si="10"/>
        <v>0</v>
      </c>
      <c r="F114" s="65">
        <f t="shared" si="10"/>
        <v>0</v>
      </c>
      <c r="G114" s="65">
        <f t="shared" si="10"/>
        <v>0</v>
      </c>
      <c r="H114" s="65">
        <f t="shared" si="10"/>
        <v>0</v>
      </c>
      <c r="I114" s="65">
        <f t="shared" si="10"/>
        <v>0</v>
      </c>
      <c r="J114" s="56">
        <f t="shared" si="6"/>
        <v>360588</v>
      </c>
      <c r="K114" s="47"/>
    </row>
    <row r="115" spans="1:11" ht="21.75" customHeight="1">
      <c r="A115" s="14"/>
      <c r="B115" s="66" t="s">
        <v>69</v>
      </c>
      <c r="C115" s="58" t="s">
        <v>64</v>
      </c>
      <c r="D115" s="67">
        <f>D114</f>
        <v>360588</v>
      </c>
      <c r="E115" s="67">
        <f>D114+E114</f>
        <v>360588</v>
      </c>
      <c r="F115" s="67">
        <f>D114+E114+F114</f>
        <v>360588</v>
      </c>
      <c r="G115" s="67">
        <f>D114+E114+F114+G114</f>
        <v>360588</v>
      </c>
      <c r="H115" s="67">
        <f>D114+E114+F114+G114+H114</f>
        <v>360588</v>
      </c>
      <c r="I115" s="67">
        <f>D114+E114+F114+G114+H114+I114</f>
        <v>360588</v>
      </c>
      <c r="J115" s="56">
        <f t="shared" si="6"/>
        <v>2163528</v>
      </c>
      <c r="K115" s="14"/>
    </row>
    <row r="116" spans="1:11" ht="21.75" customHeight="1">
      <c r="A116" s="47"/>
      <c r="B116" s="68" t="s">
        <v>70</v>
      </c>
      <c r="C116" s="54" t="s">
        <v>64</v>
      </c>
      <c r="D116" s="69">
        <f t="shared" ref="D116:J116" si="11">IFERROR(D114/D110,0)</f>
        <v>0.84053146853146854</v>
      </c>
      <c r="E116" s="69">
        <f t="shared" si="11"/>
        <v>0</v>
      </c>
      <c r="F116" s="69">
        <f t="shared" si="11"/>
        <v>0</v>
      </c>
      <c r="G116" s="69">
        <f t="shared" si="11"/>
        <v>0</v>
      </c>
      <c r="H116" s="69">
        <f t="shared" si="11"/>
        <v>0</v>
      </c>
      <c r="I116" s="69">
        <f t="shared" si="11"/>
        <v>0</v>
      </c>
      <c r="J116" s="70">
        <f t="shared" si="11"/>
        <v>0.84053146853146854</v>
      </c>
      <c r="K116" s="47"/>
    </row>
    <row r="117" spans="1:11" ht="21.75" customHeight="1">
      <c r="A117" s="14"/>
      <c r="B117" s="71" t="s">
        <v>71</v>
      </c>
      <c r="C117" s="58" t="s">
        <v>64</v>
      </c>
      <c r="D117" s="72" t="str">
        <f t="shared" ref="D117:J117" si="12">IF(D116&gt;=0.2,"🟢 Excelente",IF(D116&gt;=0.1,"🟡 Bom",IF(D116&gt;0,"🟠 Atenção","🔴 Alerta")))</f>
        <v>🟢 Excelente</v>
      </c>
      <c r="E117" s="72" t="str">
        <f t="shared" si="12"/>
        <v>🔴 Alerta</v>
      </c>
      <c r="F117" s="72" t="str">
        <f t="shared" si="12"/>
        <v>🔴 Alerta</v>
      </c>
      <c r="G117" s="72" t="str">
        <f t="shared" si="12"/>
        <v>🔴 Alerta</v>
      </c>
      <c r="H117" s="72" t="str">
        <f t="shared" si="12"/>
        <v>🔴 Alerta</v>
      </c>
      <c r="I117" s="72" t="str">
        <f t="shared" si="12"/>
        <v>🔴 Alerta</v>
      </c>
      <c r="J117" s="73" t="str">
        <f t="shared" si="12"/>
        <v>🟢 Excelente</v>
      </c>
      <c r="K117" s="14"/>
    </row>
    <row r="118" spans="1:11" ht="1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</row>
    <row r="119" spans="1:11" ht="1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</row>
    <row r="120" spans="1:11" ht="1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</row>
    <row r="121" spans="1:11" ht="1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</row>
    <row r="122" spans="1:11" ht="1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</row>
    <row r="123" spans="1:11" ht="1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</row>
    <row r="124" spans="1:11" ht="1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</row>
    <row r="125" spans="1:11" ht="1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</row>
    <row r="126" spans="1:11" ht="1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</row>
    <row r="127" spans="1:11" ht="1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</row>
    <row r="128" spans="1:11" ht="1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</row>
    <row r="129" spans="1:11" ht="1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</row>
    <row r="130" spans="1:11" ht="1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</row>
    <row r="131" spans="1:11" ht="1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</row>
    <row r="132" spans="1:11" ht="1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</row>
    <row r="133" spans="1:11" ht="1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</row>
    <row r="134" spans="1:11" ht="1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</row>
    <row r="135" spans="1:11" ht="1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</row>
    <row r="136" spans="1:11" ht="1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</row>
    <row r="137" spans="1:11" ht="1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</row>
    <row r="138" spans="1:11" ht="1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</row>
    <row r="139" spans="1:11" ht="1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</row>
    <row r="140" spans="1:11" ht="1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</row>
    <row r="141" spans="1:11" ht="1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</row>
    <row r="142" spans="1:11" ht="1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</row>
    <row r="143" spans="1:11" ht="1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</row>
    <row r="144" spans="1:11" ht="1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</row>
    <row r="145" spans="1:11" ht="1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</row>
    <row r="146" spans="1:11" ht="1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</row>
    <row r="147" spans="1:11" ht="1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</row>
    <row r="148" spans="1:11" ht="1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</row>
    <row r="149" spans="1:11" ht="1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</row>
    <row r="150" spans="1:11" ht="1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</row>
    <row r="151" spans="1:11" ht="1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</row>
    <row r="152" spans="1:11" ht="1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</row>
    <row r="153" spans="1:11" ht="1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</row>
    <row r="154" spans="1:11" ht="1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</row>
    <row r="155" spans="1:11" ht="1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</row>
    <row r="156" spans="1:11" ht="1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</row>
    <row r="157" spans="1:11" ht="1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</row>
    <row r="158" spans="1:11" ht="1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</row>
    <row r="159" spans="1:11" ht="1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</row>
    <row r="160" spans="1:11" ht="1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</row>
    <row r="161" spans="1:11" ht="1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</row>
    <row r="162" spans="1:11" ht="1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</row>
    <row r="163" spans="1:11" ht="1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</row>
    <row r="164" spans="1:11" ht="1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</row>
    <row r="165" spans="1:11" ht="1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</row>
    <row r="166" spans="1:11" ht="1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</row>
    <row r="167" spans="1:11" ht="1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</row>
    <row r="168" spans="1:11" ht="1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</row>
    <row r="169" spans="1:11" ht="1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</row>
    <row r="170" spans="1:11" ht="1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</row>
    <row r="171" spans="1:11" ht="1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</row>
    <row r="172" spans="1:11" ht="1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</row>
    <row r="173" spans="1:11" ht="1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</row>
    <row r="174" spans="1:11" ht="1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</row>
    <row r="175" spans="1:11" ht="1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</row>
    <row r="176" spans="1:11" ht="1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</row>
    <row r="177" spans="1:11" ht="1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</row>
    <row r="178" spans="1:11" ht="1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</row>
    <row r="179" spans="1:11" ht="1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</row>
    <row r="180" spans="1:11" ht="1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</row>
    <row r="181" spans="1:11" ht="1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</row>
    <row r="182" spans="1:11" ht="1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</row>
    <row r="183" spans="1:11" ht="1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</row>
    <row r="184" spans="1:11" ht="1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</row>
    <row r="185" spans="1:11" ht="1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</row>
    <row r="186" spans="1:11" ht="1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</row>
    <row r="187" spans="1:11" ht="1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</row>
    <row r="188" spans="1:11" ht="1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</row>
    <row r="189" spans="1:11" ht="1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</row>
    <row r="190" spans="1:11" ht="1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</row>
    <row r="191" spans="1:11" ht="1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</row>
    <row r="192" spans="1:11" ht="1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</row>
    <row r="193" spans="1:11" ht="1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</row>
    <row r="194" spans="1:11" ht="1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</row>
    <row r="195" spans="1:11" ht="1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</row>
    <row r="196" spans="1:11" ht="1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</row>
    <row r="197" spans="1:11" ht="1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</row>
    <row r="198" spans="1:11" ht="1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</row>
    <row r="199" spans="1:11" ht="1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</row>
    <row r="200" spans="1:11" ht="3.75" customHeight="1">
      <c r="A200" s="25"/>
      <c r="B200" s="25"/>
      <c r="C200" s="25"/>
      <c r="D200" s="74">
        <f>DATE(VALUE(LEFT('📊 Dashboard'!$L$2,4)),VALUE(MID('📊 Dashboard'!$L$2,6,2)),1)</f>
        <v>45778</v>
      </c>
      <c r="E200" s="25"/>
      <c r="F200" s="25"/>
      <c r="G200" s="25"/>
      <c r="H200" s="25"/>
      <c r="I200" s="25"/>
      <c r="J200" s="25"/>
      <c r="K200" s="25"/>
    </row>
    <row r="201" spans="1:11" ht="1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</row>
    <row r="202" spans="1:11" ht="1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</row>
    <row r="203" spans="1:11" ht="1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</row>
    <row r="204" spans="1:11" ht="1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</row>
    <row r="205" spans="1:11" ht="1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</row>
    <row r="206" spans="1:11" ht="1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</row>
    <row r="207" spans="1:11" ht="1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</row>
    <row r="208" spans="1:11" ht="1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</row>
    <row r="209" spans="1:11" ht="1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</row>
    <row r="210" spans="1:11" ht="1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</row>
  </sheetData>
  <mergeCells count="8">
    <mergeCell ref="B81:K81"/>
    <mergeCell ref="B82:K82"/>
    <mergeCell ref="B109:K109"/>
    <mergeCell ref="B2:J2"/>
    <mergeCell ref="B5:K5"/>
    <mergeCell ref="B8:K8"/>
    <mergeCell ref="B23:K23"/>
    <mergeCell ref="B56:K56"/>
  </mergeCells>
  <phoneticPr fontId="84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F81F7"/>
  </sheetPr>
  <dimension ref="A1:X91"/>
  <sheetViews>
    <sheetView showGridLines="0" tabSelected="1" zoomScaleNormal="100" workbookViewId="0">
      <selection activeCell="F15" sqref="F15:H16"/>
    </sheetView>
  </sheetViews>
  <sheetFormatPr defaultColWidth="8.6640625" defaultRowHeight="14.4"/>
  <cols>
    <col min="1" max="1" width="1" customWidth="1"/>
    <col min="2" max="2" width="22" customWidth="1"/>
    <col min="3" max="3" width="1" customWidth="1"/>
    <col min="4" max="4" width="22" customWidth="1"/>
    <col min="5" max="5" width="1" customWidth="1"/>
    <col min="6" max="6" width="22" customWidth="1"/>
    <col min="7" max="7" width="1" customWidth="1"/>
    <col min="8" max="8" width="22" customWidth="1"/>
    <col min="9" max="9" width="1" customWidth="1"/>
    <col min="10" max="10" width="22" customWidth="1"/>
    <col min="11" max="11" width="1" customWidth="1"/>
    <col min="12" max="12" width="22" customWidth="1"/>
    <col min="13" max="13" width="1" customWidth="1"/>
    <col min="14" max="14" width="2" customWidth="1"/>
  </cols>
  <sheetData>
    <row r="1" spans="1:24" ht="7.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</row>
    <row r="2" spans="1:24" ht="18" customHeight="1">
      <c r="A2" s="4"/>
      <c r="B2" s="223" t="s">
        <v>72</v>
      </c>
      <c r="C2" s="223"/>
      <c r="D2" s="223"/>
      <c r="E2" s="223"/>
      <c r="F2" s="223"/>
      <c r="G2" s="223"/>
      <c r="H2" s="4"/>
      <c r="I2" s="224" t="s">
        <v>73</v>
      </c>
      <c r="J2" s="224"/>
      <c r="K2" s="224"/>
      <c r="L2" s="262" t="s">
        <v>260</v>
      </c>
      <c r="M2" s="4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</row>
    <row r="3" spans="1:24" ht="18" customHeight="1">
      <c r="A3" s="4"/>
      <c r="B3" s="223"/>
      <c r="C3" s="223"/>
      <c r="D3" s="223"/>
      <c r="E3" s="223"/>
      <c r="F3" s="223"/>
      <c r="G3" s="223"/>
      <c r="H3" s="4"/>
      <c r="I3" s="225" t="s">
        <v>74</v>
      </c>
      <c r="J3" s="225"/>
      <c r="K3" s="225"/>
      <c r="L3" s="225"/>
      <c r="M3" s="2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</row>
    <row r="4" spans="1:24" ht="7.5" customHeight="1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</row>
    <row r="5" spans="1:24" ht="7.5" customHeight="1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</row>
    <row r="6" spans="1:24" ht="3.75" customHeight="1">
      <c r="A6" s="25"/>
      <c r="B6" s="9"/>
      <c r="C6" s="9"/>
      <c r="D6" s="9"/>
      <c r="E6" s="25"/>
      <c r="F6" s="34"/>
      <c r="G6" s="34"/>
      <c r="H6" s="34"/>
      <c r="I6" s="25"/>
      <c r="J6" s="75"/>
      <c r="K6" s="75"/>
      <c r="L6" s="7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</row>
    <row r="7" spans="1:24" ht="18" customHeight="1">
      <c r="A7" s="25"/>
      <c r="B7" s="214" t="s">
        <v>75</v>
      </c>
      <c r="C7" s="214"/>
      <c r="D7" s="214"/>
      <c r="E7" s="25"/>
      <c r="F7" s="214" t="s">
        <v>76</v>
      </c>
      <c r="G7" s="214"/>
      <c r="H7" s="214"/>
      <c r="I7" s="25"/>
      <c r="J7" s="214" t="s">
        <v>77</v>
      </c>
      <c r="K7" s="214"/>
      <c r="L7" s="214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</row>
    <row r="8" spans="1:24" ht="21.75" customHeight="1">
      <c r="A8" s="25"/>
      <c r="B8" s="220">
        <f>B71</f>
        <v>429000</v>
      </c>
      <c r="C8" s="220"/>
      <c r="D8" s="220"/>
      <c r="E8" s="25"/>
      <c r="F8" s="221">
        <f>D71</f>
        <v>111572</v>
      </c>
      <c r="G8" s="221"/>
      <c r="H8" s="221"/>
      <c r="I8" s="25"/>
      <c r="J8" s="222">
        <f>F71</f>
        <v>317428</v>
      </c>
      <c r="K8" s="222"/>
      <c r="L8" s="222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</row>
    <row r="9" spans="1:24" ht="21.75" customHeight="1">
      <c r="A9" s="25"/>
      <c r="B9" s="220"/>
      <c r="C9" s="220"/>
      <c r="D9" s="220"/>
      <c r="E9" s="25"/>
      <c r="F9" s="221"/>
      <c r="G9" s="221"/>
      <c r="H9" s="221"/>
      <c r="I9" s="25"/>
      <c r="J9" s="222"/>
      <c r="K9" s="222"/>
      <c r="L9" s="222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</row>
    <row r="10" spans="1:24" ht="15.75" customHeight="1">
      <c r="A10" s="25"/>
      <c r="B10" s="214" t="s">
        <v>78</v>
      </c>
      <c r="C10" s="214"/>
      <c r="D10" s="214"/>
      <c r="E10" s="25"/>
      <c r="F10" s="214" t="s">
        <v>79</v>
      </c>
      <c r="G10" s="214"/>
      <c r="H10" s="214"/>
      <c r="I10" s="25"/>
      <c r="J10" s="214" t="s">
        <v>80</v>
      </c>
      <c r="K10" s="214"/>
      <c r="L10" s="214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</row>
    <row r="11" spans="1:24" ht="6" customHeight="1">
      <c r="A11" s="25"/>
      <c r="B11" s="47"/>
      <c r="C11" s="47"/>
      <c r="D11" s="47"/>
      <c r="E11" s="25"/>
      <c r="F11" s="47"/>
      <c r="G11" s="47"/>
      <c r="H11" s="47"/>
      <c r="I11" s="25"/>
      <c r="J11" s="47"/>
      <c r="K11" s="47"/>
      <c r="L11" s="47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</row>
    <row r="12" spans="1:24" ht="9.75" customHeight="1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</row>
    <row r="13" spans="1:24" ht="3.75" customHeight="1">
      <c r="A13" s="25"/>
      <c r="B13" s="26"/>
      <c r="C13" s="26"/>
      <c r="D13" s="26"/>
      <c r="E13" s="25"/>
      <c r="F13" s="76"/>
      <c r="G13" s="76"/>
      <c r="H13" s="76"/>
      <c r="I13" s="25"/>
      <c r="J13" s="3"/>
      <c r="K13" s="3"/>
      <c r="L13" s="3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</row>
    <row r="14" spans="1:24" ht="18" customHeight="1">
      <c r="A14" s="25"/>
      <c r="B14" s="214" t="s">
        <v>16</v>
      </c>
      <c r="C14" s="214"/>
      <c r="D14" s="214"/>
      <c r="E14" s="25"/>
      <c r="F14" s="214" t="s">
        <v>32</v>
      </c>
      <c r="G14" s="214"/>
      <c r="H14" s="214"/>
      <c r="I14" s="25"/>
      <c r="J14" s="214" t="s">
        <v>81</v>
      </c>
      <c r="K14" s="214"/>
      <c r="L14" s="214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</row>
    <row r="15" spans="1:24" ht="21.75" customHeight="1">
      <c r="A15" s="25"/>
      <c r="B15" s="217" t="str">
        <f>B72</f>
        <v>📊  COMPARATIVO — ÚLTIMOS 6 MESES POR CATEGORIA</v>
      </c>
      <c r="C15" s="217"/>
      <c r="D15" s="217"/>
      <c r="E15" s="25"/>
      <c r="F15" s="218">
        <f>D72</f>
        <v>0</v>
      </c>
      <c r="G15" s="218"/>
      <c r="H15" s="218"/>
      <c r="I15" s="25"/>
      <c r="J15" s="219">
        <f>H71</f>
        <v>0.73992540792540795</v>
      </c>
      <c r="K15" s="219"/>
      <c r="L15" s="219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</row>
    <row r="16" spans="1:24" ht="21.75" customHeight="1">
      <c r="A16" s="25"/>
      <c r="B16" s="217"/>
      <c r="C16" s="217"/>
      <c r="D16" s="217"/>
      <c r="E16" s="25"/>
      <c r="F16" s="218"/>
      <c r="G16" s="218"/>
      <c r="H16" s="218"/>
      <c r="I16" s="25"/>
      <c r="J16" s="219"/>
      <c r="K16" s="219"/>
      <c r="L16" s="219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</row>
    <row r="17" spans="1:24" ht="15.75" customHeight="1">
      <c r="A17" s="25"/>
      <c r="B17" s="214" t="s">
        <v>82</v>
      </c>
      <c r="C17" s="214"/>
      <c r="D17" s="214"/>
      <c r="E17" s="25"/>
      <c r="F17" s="214" t="s">
        <v>83</v>
      </c>
      <c r="G17" s="214"/>
      <c r="H17" s="214"/>
      <c r="I17" s="25"/>
      <c r="J17" s="214" t="s">
        <v>84</v>
      </c>
      <c r="K17" s="214"/>
      <c r="L17" s="214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</row>
    <row r="18" spans="1:24" ht="6" customHeight="1">
      <c r="A18" s="25"/>
      <c r="B18" s="47"/>
      <c r="C18" s="47"/>
      <c r="D18" s="47"/>
      <c r="E18" s="25"/>
      <c r="F18" s="47"/>
      <c r="G18" s="47"/>
      <c r="H18" s="47"/>
      <c r="I18" s="25"/>
      <c r="J18" s="47"/>
      <c r="K18" s="47"/>
      <c r="L18" s="47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</row>
    <row r="19" spans="1:24" ht="9.75" customHeight="1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</row>
    <row r="20" spans="1:24" ht="3" customHeight="1">
      <c r="A20" s="25"/>
      <c r="B20" s="215"/>
      <c r="C20" s="215"/>
      <c r="D20" s="215"/>
      <c r="E20" s="215"/>
      <c r="F20" s="215"/>
      <c r="G20" s="215"/>
      <c r="H20" s="215"/>
      <c r="I20" s="215"/>
      <c r="J20" s="215"/>
      <c r="K20" s="215"/>
      <c r="L20" s="215"/>
      <c r="M20" s="21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</row>
    <row r="21" spans="1:24" ht="19.5" customHeight="1">
      <c r="A21" s="25"/>
      <c r="B21" s="216" t="s">
        <v>85</v>
      </c>
      <c r="C21" s="216"/>
      <c r="D21" s="216"/>
      <c r="E21" s="216"/>
      <c r="F21" s="216"/>
      <c r="G21" s="216"/>
      <c r="H21" s="216"/>
      <c r="I21" s="216"/>
      <c r="J21" s="216"/>
      <c r="K21" s="216"/>
      <c r="L21" s="216"/>
      <c r="M21" s="216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</row>
    <row r="22" spans="1:24" ht="18" customHeight="1">
      <c r="A22" s="25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</row>
    <row r="23" spans="1:24" ht="21.75" customHeight="1">
      <c r="A23" s="25"/>
      <c r="B23" s="213" t="str">
        <f>IF(H71&gt;=0.2,"🟢 EXCELENTE – Você está economizando mais de 20%!",IF(H71&gt;=0.1,"🟡 BOM – Economia entre 10-20%. Continue assim!",IF(H71&gt;0,"🟠 ATENÇÃO – Economia abaixo de 10%. Revise os gastos.",IF(H71=0,"⚪ NEUTRO – Entradas igualam saídas.",  "🔴 ALERTA – Gastos superiores às entradas!"))))</f>
        <v>🟢 EXCELENTE – Você está economizando mais de 20%!</v>
      </c>
      <c r="C23" s="213"/>
      <c r="D23" s="213"/>
      <c r="E23" s="213"/>
      <c r="F23" s="213"/>
      <c r="G23" s="213"/>
      <c r="H23" s="213"/>
      <c r="I23" s="213"/>
      <c r="J23" s="213"/>
      <c r="K23" s="213"/>
      <c r="L23" s="213"/>
      <c r="M23" s="213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</row>
    <row r="24" spans="1:24" ht="18" customHeight="1">
      <c r="A24" s="25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</row>
    <row r="25" spans="1:24" ht="18" customHeight="1">
      <c r="A25" s="25"/>
      <c r="B25" s="214" t="s">
        <v>86</v>
      </c>
      <c r="C25" s="214"/>
      <c r="D25" s="214"/>
      <c r="E25" s="214"/>
      <c r="F25" s="77">
        <f>F71*12</f>
        <v>3809136</v>
      </c>
      <c r="G25" s="214" t="s">
        <v>87</v>
      </c>
      <c r="H25" s="214"/>
      <c r="I25" s="214"/>
      <c r="J25" s="78" t="str">
        <f>'📅 Planejamento'!B8</f>
        <v>Bônus</v>
      </c>
      <c r="K25" s="47"/>
      <c r="L25" s="47"/>
      <c r="M25" s="47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</row>
    <row r="26" spans="1:24" ht="18" customHeight="1">
      <c r="A26" s="25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</row>
    <row r="27" spans="1:24" ht="6" customHeight="1">
      <c r="A27" s="25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</row>
    <row r="28" spans="1:24" ht="7.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</row>
    <row r="29" spans="1:24" ht="18" customHeight="1">
      <c r="A29" s="25"/>
      <c r="B29" s="212" t="s">
        <v>88</v>
      </c>
      <c r="C29" s="212"/>
      <c r="D29" s="212"/>
      <c r="E29" s="212"/>
      <c r="F29" s="212"/>
      <c r="G29" s="212"/>
      <c r="H29" s="25"/>
      <c r="I29" s="212" t="s">
        <v>89</v>
      </c>
      <c r="J29" s="212"/>
      <c r="K29" s="212"/>
      <c r="L29" s="212"/>
      <c r="M29" s="212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</row>
    <row r="30" spans="1:24" ht="18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</row>
    <row r="31" spans="1:24" ht="18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</row>
    <row r="32" spans="1:24" ht="18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</row>
    <row r="33" spans="1:24" ht="18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</row>
    <row r="34" spans="1:24" ht="18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</row>
    <row r="35" spans="1:24" ht="18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</row>
    <row r="36" spans="1:24" ht="18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</row>
    <row r="37" spans="1:24" ht="18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</row>
    <row r="38" spans="1:24" ht="18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</row>
    <row r="39" spans="1:24" ht="18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</row>
    <row r="40" spans="1:24" ht="18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</row>
    <row r="41" spans="1:24" ht="18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</row>
    <row r="42" spans="1:24" ht="18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</row>
    <row r="43" spans="1:24" ht="18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</row>
    <row r="44" spans="1:24" ht="18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</row>
    <row r="45" spans="1:24" ht="18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</row>
    <row r="46" spans="1:24" ht="18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</row>
    <row r="47" spans="1:24" ht="18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</row>
    <row r="48" spans="1:24" ht="18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</row>
    <row r="49" spans="1:24" ht="9.7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</row>
    <row r="50" spans="1:24" ht="18" customHeight="1">
      <c r="A50" s="25"/>
      <c r="B50" s="212" t="s">
        <v>90</v>
      </c>
      <c r="C50" s="212"/>
      <c r="D50" s="212"/>
      <c r="E50" s="212"/>
      <c r="F50" s="212"/>
      <c r="G50" s="212"/>
      <c r="H50" s="212"/>
      <c r="I50" s="212"/>
      <c r="J50" s="212"/>
      <c r="K50" s="212"/>
      <c r="L50" s="212"/>
      <c r="M50" s="212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</row>
    <row r="51" spans="1:24" ht="15.75" customHeight="1">
      <c r="A51" s="25"/>
      <c r="B51" s="6" t="s">
        <v>91</v>
      </c>
      <c r="C51" s="6" t="s">
        <v>92</v>
      </c>
      <c r="D51" s="25"/>
      <c r="E51" s="25"/>
      <c r="F51" s="6" t="s">
        <v>93</v>
      </c>
      <c r="G51" s="25"/>
      <c r="H51" s="25"/>
      <c r="I51" s="25"/>
      <c r="J51" s="6" t="s">
        <v>94</v>
      </c>
      <c r="K51" s="25"/>
      <c r="L51" s="6" t="s">
        <v>95</v>
      </c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</row>
    <row r="52" spans="1:24" ht="18" customHeight="1">
      <c r="A52" s="25"/>
      <c r="B52" s="79">
        <v>1</v>
      </c>
      <c r="C52" s="210" t="str">
        <f>IFERROR(INDEX('📋 Movimentações'!$B$15:$B$514,MATCH(LARGE(IF(TEXT('📋 Movimentações'!$A$4:$A$503,"yyyy-mm")=L2,IF('📋 Movimentações'!$D$15:$D$514="Saída",'📋 Movimentações'!$E$15:$E$514)),1),IF(TEXT('📋 Movimentações'!$A$4:$A$503,"yyyy-mm")=L2,IF('📋 Movimentações'!$D$15:$D$514="Saída",'📋 Movimentações'!$E$15:$E$514)),0)),"-")</f>
        <v>-</v>
      </c>
      <c r="D52" s="210"/>
      <c r="E52" s="210"/>
      <c r="F52" s="210"/>
      <c r="G52" s="210"/>
      <c r="H52" s="210"/>
      <c r="I52" s="210"/>
      <c r="J52" s="211">
        <f>IFERROR(LARGE(IF(TEXT('📋 Movimentações'!$A$4:$A$503,"yyyy-mm")=L2,IF('📋 Movimentações'!$D$15:$D$514="Saída",'📋 Movimentações'!$E$15:$E$514)),1),0)</f>
        <v>0</v>
      </c>
      <c r="K52" s="211"/>
      <c r="L52" s="80">
        <f>IFERROR(J52/D71,0)</f>
        <v>0</v>
      </c>
      <c r="M52" s="47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</row>
    <row r="53" spans="1:24" ht="18" customHeight="1">
      <c r="A53" s="25"/>
      <c r="B53" s="81">
        <v>2</v>
      </c>
      <c r="C53" s="208" t="str">
        <f>IFERROR(INDEX('📋 Movimentações'!$B$15:$B$514,MATCH(LARGE(IF(TEXT('📋 Movimentações'!$A$4:$A$503,"yyyy-mm")=L2,IF('📋 Movimentações'!$D$15:$D$514="Saída",'📋 Movimentações'!$E$15:$E$514)),2),IF(TEXT('📋 Movimentações'!$A$4:$A$503,"yyyy-mm")=L2,IF('📋 Movimentações'!$D$15:$D$514="Saída",'📋 Movimentações'!$E$15:$E$514)),0)),"-")</f>
        <v>-</v>
      </c>
      <c r="D53" s="208"/>
      <c r="E53" s="208"/>
      <c r="F53" s="208"/>
      <c r="G53" s="208"/>
      <c r="H53" s="208"/>
      <c r="I53" s="208"/>
      <c r="J53" s="209">
        <f>IFERROR(LARGE(IF(TEXT('📋 Movimentações'!$A$4:$A$503,"yyyy-mm")=L2,IF('📋 Movimentações'!$D$15:$D$514="Saída",'📋 Movimentações'!$E$15:$E$514)),2),0)</f>
        <v>0</v>
      </c>
      <c r="K53" s="209"/>
      <c r="L53" s="82">
        <f>IFERROR(J53/D71,0)</f>
        <v>0</v>
      </c>
      <c r="M53" s="14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</row>
    <row r="54" spans="1:24" ht="18" customHeight="1">
      <c r="A54" s="25"/>
      <c r="B54" s="79">
        <v>3</v>
      </c>
      <c r="C54" s="210" t="str">
        <f>IFERROR(INDEX('📋 Movimentações'!$B$15:$B$514,MATCH(LARGE(IF(TEXT('📋 Movimentações'!$A$4:$A$503,"yyyy-mm")=L2,IF('📋 Movimentações'!$D$15:$D$514="Saída",'📋 Movimentações'!$E$15:$E$514)),3),IF(TEXT('📋 Movimentações'!$A$4:$A$503,"yyyy-mm")=L2,IF('📋 Movimentações'!$D$15:$D$514="Saída",'📋 Movimentações'!$E$15:$E$514)),0)),"-")</f>
        <v>-</v>
      </c>
      <c r="D54" s="210"/>
      <c r="E54" s="210"/>
      <c r="F54" s="210"/>
      <c r="G54" s="210"/>
      <c r="H54" s="210"/>
      <c r="I54" s="210"/>
      <c r="J54" s="211">
        <f>IFERROR(LARGE(IF(TEXT('📋 Movimentações'!$A$4:$A$503,"yyyy-mm")=L2,IF('📋 Movimentações'!$D$15:$D$514="Saída",'📋 Movimentações'!$E$15:$E$514)),3),0)</f>
        <v>0</v>
      </c>
      <c r="K54" s="211"/>
      <c r="L54" s="80">
        <f>IFERROR(J54/D71,0)</f>
        <v>0</v>
      </c>
      <c r="M54" s="47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</row>
    <row r="55" spans="1:24" ht="18" customHeight="1">
      <c r="A55" s="25"/>
      <c r="B55" s="81">
        <v>4</v>
      </c>
      <c r="C55" s="208" t="str">
        <f>IFERROR(INDEX('📋 Movimentações'!$B$15:$B$514,MATCH(LARGE(IF(TEXT('📋 Movimentações'!$A$4:$A$503,"yyyy-mm")=L2,IF('📋 Movimentações'!$D$15:$D$514="Saída",'📋 Movimentações'!$E$15:$E$514)),4),IF(TEXT('📋 Movimentações'!$A$4:$A$503,"yyyy-mm")=L2,IF('📋 Movimentações'!$D$15:$D$514="Saída",'📋 Movimentações'!$E$15:$E$514)),0)),"-")</f>
        <v>-</v>
      </c>
      <c r="D55" s="208"/>
      <c r="E55" s="208"/>
      <c r="F55" s="208"/>
      <c r="G55" s="208"/>
      <c r="H55" s="208"/>
      <c r="I55" s="208"/>
      <c r="J55" s="209">
        <f>IFERROR(LARGE(IF(TEXT('📋 Movimentações'!$A$4:$A$503,"yyyy-mm")=L2,IF('📋 Movimentações'!$D$15:$D$514="Saída",'📋 Movimentações'!$E$15:$E$514)),4),0)</f>
        <v>0</v>
      </c>
      <c r="K55" s="209"/>
      <c r="L55" s="82">
        <f>IFERROR(J55/D71,0)</f>
        <v>0</v>
      </c>
      <c r="M55" s="14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</row>
    <row r="56" spans="1:24" ht="18" customHeight="1">
      <c r="A56" s="25"/>
      <c r="B56" s="79">
        <v>5</v>
      </c>
      <c r="C56" s="210" t="str">
        <f>IFERROR(INDEX('📋 Movimentações'!$B$15:$B$514,MATCH(LARGE(IF(TEXT('📋 Movimentações'!$A$4:$A$503,"yyyy-mm")=L2,IF('📋 Movimentações'!$D$15:$D$514="Saída",'📋 Movimentações'!$E$15:$E$514)),5),IF(TEXT('📋 Movimentações'!$A$4:$A$503,"yyyy-mm")=L2,IF('📋 Movimentações'!$D$15:$D$514="Saída",'📋 Movimentações'!$E$15:$E$514)),0)),"-")</f>
        <v>-</v>
      </c>
      <c r="D56" s="210"/>
      <c r="E56" s="210"/>
      <c r="F56" s="210"/>
      <c r="G56" s="210"/>
      <c r="H56" s="210"/>
      <c r="I56" s="210"/>
      <c r="J56" s="211">
        <f>IFERROR(LARGE(IF(TEXT('📋 Movimentações'!$A$4:$A$503,"yyyy-mm")=L2,IF('📋 Movimentações'!$D$15:$D$514="Saída",'📋 Movimentações'!$E$15:$E$514)),5),0)</f>
        <v>0</v>
      </c>
      <c r="K56" s="211"/>
      <c r="L56" s="80">
        <f>IFERROR(J56/D71,0)</f>
        <v>0</v>
      </c>
      <c r="M56" s="47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</row>
    <row r="57" spans="1:24" ht="18" customHeight="1">
      <c r="A57" s="25"/>
      <c r="B57" s="81">
        <v>6</v>
      </c>
      <c r="C57" s="208" t="str">
        <f>IFERROR(INDEX('📋 Movimentações'!$B$15:$B$514,MATCH(LARGE(IF(TEXT('📋 Movimentações'!$A$4:$A$503,"yyyy-mm")=L2,IF('📋 Movimentações'!$D$15:$D$514="Saída",'📋 Movimentações'!$E$15:$E$514)),6),IF(TEXT('📋 Movimentações'!$A$4:$A$503,"yyyy-mm")=L2,IF('📋 Movimentações'!$D$15:$D$514="Saída",'📋 Movimentações'!$E$15:$E$514)),0)),"-")</f>
        <v>-</v>
      </c>
      <c r="D57" s="208"/>
      <c r="E57" s="208"/>
      <c r="F57" s="208"/>
      <c r="G57" s="208"/>
      <c r="H57" s="208"/>
      <c r="I57" s="208"/>
      <c r="J57" s="209">
        <f>IFERROR(LARGE(IF(TEXT('📋 Movimentações'!$A$4:$A$503,"yyyy-mm")=L2,IF('📋 Movimentações'!$D$15:$D$514="Saída",'📋 Movimentações'!$E$15:$E$514)),6),0)</f>
        <v>0</v>
      </c>
      <c r="K57" s="209"/>
      <c r="L57" s="82">
        <f>IFERROR(J57/D71,0)</f>
        <v>0</v>
      </c>
      <c r="M57" s="14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</row>
    <row r="58" spans="1:24" ht="18" customHeight="1">
      <c r="A58" s="25"/>
      <c r="B58" s="79">
        <v>7</v>
      </c>
      <c r="C58" s="210" t="str">
        <f>IFERROR(INDEX('📋 Movimentações'!$B$15:$B$514,MATCH(LARGE(IF(TEXT('📋 Movimentações'!$A$4:$A$503,"yyyy-mm")=L2,IF('📋 Movimentações'!$D$15:$D$514="Saída",'📋 Movimentações'!$E$15:$E$514)),7),IF(TEXT('📋 Movimentações'!$A$4:$A$503,"yyyy-mm")=L2,IF('📋 Movimentações'!$D$15:$D$514="Saída",'📋 Movimentações'!$E$15:$E$514)),0)),"-")</f>
        <v>-</v>
      </c>
      <c r="D58" s="210"/>
      <c r="E58" s="210"/>
      <c r="F58" s="210"/>
      <c r="G58" s="210"/>
      <c r="H58" s="210"/>
      <c r="I58" s="210"/>
      <c r="J58" s="211">
        <f>IFERROR(LARGE(IF(TEXT('📋 Movimentações'!$A$4:$A$503,"yyyy-mm")=L2,IF('📋 Movimentações'!$D$15:$D$514="Saída",'📋 Movimentações'!$E$15:$E$514)),7),0)</f>
        <v>0</v>
      </c>
      <c r="K58" s="211"/>
      <c r="L58" s="80">
        <f>IFERROR(J58/D71,0)</f>
        <v>0</v>
      </c>
      <c r="M58" s="47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</row>
    <row r="59" spans="1:24" ht="9.7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</row>
    <row r="60" spans="1:24" ht="18" customHeight="1">
      <c r="A60" s="25"/>
      <c r="B60" s="212" t="s">
        <v>96</v>
      </c>
      <c r="C60" s="212"/>
      <c r="D60" s="212"/>
      <c r="E60" s="212"/>
      <c r="F60" s="212"/>
      <c r="G60" s="212"/>
      <c r="H60" s="212"/>
      <c r="I60" s="212"/>
      <c r="J60" s="212"/>
      <c r="K60" s="212"/>
      <c r="L60" s="212"/>
      <c r="M60" s="212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</row>
    <row r="61" spans="1:24" ht="18" customHeight="1">
      <c r="A61" s="25"/>
      <c r="B61" s="206" t="s">
        <v>97</v>
      </c>
      <c r="C61" s="206"/>
      <c r="D61" s="206"/>
      <c r="E61" s="206"/>
      <c r="F61" s="206"/>
      <c r="G61" s="206"/>
      <c r="H61" s="206"/>
      <c r="I61" s="206"/>
      <c r="J61" s="206"/>
      <c r="K61" s="206"/>
      <c r="L61" s="206"/>
      <c r="M61" s="206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</row>
    <row r="62" spans="1:24" ht="18" customHeight="1">
      <c r="A62" s="25"/>
      <c r="B62" s="206"/>
      <c r="C62" s="206"/>
      <c r="D62" s="206"/>
      <c r="E62" s="206"/>
      <c r="F62" s="206"/>
      <c r="G62" s="206"/>
      <c r="H62" s="206"/>
      <c r="I62" s="206"/>
      <c r="J62" s="206"/>
      <c r="K62" s="206"/>
      <c r="L62" s="206"/>
      <c r="M62" s="206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</row>
    <row r="63" spans="1:24" ht="18" customHeight="1">
      <c r="A63" s="25"/>
      <c r="B63" s="206"/>
      <c r="C63" s="206"/>
      <c r="D63" s="206"/>
      <c r="E63" s="206"/>
      <c r="F63" s="206"/>
      <c r="G63" s="206"/>
      <c r="H63" s="206"/>
      <c r="I63" s="206"/>
      <c r="J63" s="206"/>
      <c r="K63" s="206"/>
      <c r="L63" s="206"/>
      <c r="M63" s="206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</row>
    <row r="64" spans="1:24" ht="18" customHeight="1">
      <c r="A64" s="25"/>
      <c r="B64" s="206"/>
      <c r="C64" s="206"/>
      <c r="D64" s="206"/>
      <c r="E64" s="206"/>
      <c r="F64" s="206"/>
      <c r="G64" s="206"/>
      <c r="H64" s="206"/>
      <c r="I64" s="206"/>
      <c r="J64" s="206"/>
      <c r="K64" s="206"/>
      <c r="L64" s="206"/>
      <c r="M64" s="206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</row>
    <row r="65" spans="1:24" ht="18" customHeight="1">
      <c r="A65" s="25"/>
      <c r="B65" s="206"/>
      <c r="C65" s="206"/>
      <c r="D65" s="206"/>
      <c r="E65" s="206"/>
      <c r="F65" s="206"/>
      <c r="G65" s="206"/>
      <c r="H65" s="206"/>
      <c r="I65" s="206"/>
      <c r="J65" s="206"/>
      <c r="K65" s="206"/>
      <c r="L65" s="206"/>
      <c r="M65" s="206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</row>
    <row r="66" spans="1:24" ht="18" customHeight="1">
      <c r="A66" s="25"/>
      <c r="B66" s="206"/>
      <c r="C66" s="206"/>
      <c r="D66" s="206"/>
      <c r="E66" s="206"/>
      <c r="F66" s="206"/>
      <c r="G66" s="206"/>
      <c r="H66" s="206"/>
      <c r="I66" s="206"/>
      <c r="J66" s="206"/>
      <c r="K66" s="206"/>
      <c r="L66" s="206"/>
      <c r="M66" s="206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</row>
    <row r="67" spans="1:24" ht="18" customHeight="1">
      <c r="A67" s="25"/>
      <c r="B67" s="206"/>
      <c r="C67" s="206"/>
      <c r="D67" s="206"/>
      <c r="E67" s="206"/>
      <c r="F67" s="206"/>
      <c r="G67" s="206"/>
      <c r="H67" s="206"/>
      <c r="I67" s="206"/>
      <c r="J67" s="206"/>
      <c r="K67" s="206"/>
      <c r="L67" s="206"/>
      <c r="M67" s="206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</row>
    <row r="68" spans="1:24" ht="18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</row>
    <row r="69" spans="1:24" ht="18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</row>
    <row r="70" spans="1:24" ht="18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</row>
    <row r="71" spans="1:24" ht="7.5" customHeight="1">
      <c r="A71" s="83"/>
      <c r="B71" s="84">
        <f>SUMIFS('📋 Movimentações'!$F$15:$F$514,'📋 Movimentações'!$B$15:$B$514,"&gt;="&amp;$P$71,'📋 Movimentações'!$B$15:$B$514,"&lt;="&amp;$Q$71,'📋 Movimentações'!$E$15:$E$514,"Entrada")</f>
        <v>429000</v>
      </c>
      <c r="C71" s="83"/>
      <c r="D71" s="84">
        <f>SUMIFS('📋 Movimentações'!$F$15:$F$514,'📋 Movimentações'!$B$15:$B$514,"&gt;="&amp;$P$71,'📋 Movimentações'!$B$15:$B$514,"&lt;="&amp;$Q$71,'📋 Movimentações'!$E$15:$E$514,"Saída")</f>
        <v>111572</v>
      </c>
      <c r="E71" s="83"/>
      <c r="F71" s="84">
        <f>B71-D71</f>
        <v>317428</v>
      </c>
      <c r="G71" s="83"/>
      <c r="H71" s="85">
        <f>IFERROR(1-D71/B71,0)</f>
        <v>0.73992540792540795</v>
      </c>
      <c r="I71" s="83"/>
      <c r="J71" s="83"/>
      <c r="K71" s="83"/>
      <c r="L71" s="83"/>
      <c r="M71" s="83"/>
      <c r="N71" s="86">
        <f>VALUE(LEFT($L$2,4))</f>
        <v>2025</v>
      </c>
      <c r="O71" s="86">
        <f>VALUE(MID($L$2,6,2))</f>
        <v>5</v>
      </c>
      <c r="P71" s="87">
        <f>DATE(VALUE(LEFT($L$2,4)),VALUE(MID($L$2,6,2)),1)</f>
        <v>45778</v>
      </c>
      <c r="Q71" s="87">
        <f>EOMONTH($P$71,0)</f>
        <v>45808</v>
      </c>
      <c r="R71" s="25"/>
      <c r="S71" s="25"/>
      <c r="T71" s="25"/>
      <c r="U71" s="25"/>
      <c r="V71" s="25"/>
      <c r="W71" s="25"/>
      <c r="X71" s="25"/>
    </row>
    <row r="72" spans="1:24" ht="18" customHeight="1">
      <c r="A72" s="25"/>
      <c r="B72" s="207" t="s">
        <v>98</v>
      </c>
      <c r="C72" s="207"/>
      <c r="D72" s="207"/>
      <c r="E72" s="207"/>
      <c r="F72" s="207"/>
      <c r="G72" s="207"/>
      <c r="H72" s="207"/>
      <c r="I72" s="207"/>
      <c r="J72" s="207"/>
      <c r="K72" s="207"/>
      <c r="L72" s="207"/>
      <c r="M72" s="207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</row>
    <row r="73" spans="1:24" ht="18" customHeight="1">
      <c r="A73" s="83" t="s">
        <v>99</v>
      </c>
      <c r="B73" s="8" t="s">
        <v>100</v>
      </c>
      <c r="C73" s="8" t="s">
        <v>101</v>
      </c>
      <c r="D73" s="8" t="s">
        <v>102</v>
      </c>
      <c r="E73" s="8" t="s">
        <v>103</v>
      </c>
      <c r="F73" s="8" t="s">
        <v>104</v>
      </c>
      <c r="G73" s="8" t="s">
        <v>105</v>
      </c>
      <c r="H73" s="7" t="s">
        <v>106</v>
      </c>
      <c r="I73" s="83" t="s">
        <v>107</v>
      </c>
      <c r="J73" s="83" t="s">
        <v>108</v>
      </c>
      <c r="K73" s="83" t="s">
        <v>109</v>
      </c>
      <c r="L73" s="83" t="s">
        <v>110</v>
      </c>
      <c r="M73" s="83" t="s">
        <v>111</v>
      </c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</row>
    <row r="74" spans="1:24" ht="18" customHeight="1">
      <c r="A74" s="83" t="s">
        <v>112</v>
      </c>
      <c r="B74" s="88" t="s">
        <v>113</v>
      </c>
      <c r="C74" s="89">
        <f>IFERROR(SUMIFS('📋 Movimentações'!$F$15:$F$514,'📋 Movimentações'!$B$15:$B$514,"&gt;="&amp;DATE(YEAR(P71+-150),MONTH(P71+-150),1),'📋 Movimentações'!$B$15:$B$514,"&lt;="&amp;EOMONTH(DATE(YEAR(P71+-150),MONTH(P71+-150),1),0),'📋 Movimentações'!$E$15:$E$514,"Saída",'📋 Movimentações'!$D$15:$D$514,"Mercado"),0)</f>
        <v>0</v>
      </c>
      <c r="D74" s="89">
        <f>IFERROR(SUMIFS('📋 Movimentações'!$F$15:$F$514,'📋 Movimentações'!$B$15:$B$514,"&gt;="&amp;DATE(YEAR(P71+-120),MONTH(P71+-120),1),'📋 Movimentações'!$B$15:$B$514,"&lt;="&amp;EOMONTH(DATE(YEAR(P71+-120),MONTH(P71+-120),1),0),'📋 Movimentações'!$E$15:$E$514,"Saída",'📋 Movimentações'!$D$15:$D$514,"Mercado"),0)</f>
        <v>0</v>
      </c>
      <c r="E74" s="89">
        <f>IFERROR(SUMIFS('📋 Movimentações'!$F$15:$F$514,'📋 Movimentações'!$B$15:$B$514,"&gt;="&amp;DATE(YEAR(P71+-90),MONTH(P71+-90),1),'📋 Movimentações'!$B$15:$B$514,"&lt;="&amp;EOMONTH(DATE(YEAR(P71+-90),MONTH(P71+-90),1),0),'📋 Movimentações'!$E$15:$E$514,"Saída",'📋 Movimentações'!$D$15:$D$514,"Mercado"),0)</f>
        <v>0</v>
      </c>
      <c r="F74" s="89">
        <f>IFERROR(SUMIFS('📋 Movimentações'!$F$15:$F$514,'📋 Movimentações'!$B$15:$B$514,"&gt;="&amp;DATE(YEAR(P71+-60),MONTH(P71+-60),1),'📋 Movimentações'!$B$15:$B$514,"&lt;="&amp;EOMONTH(DATE(YEAR(P71+-60),MONTH(P71+-60),1),0),'📋 Movimentações'!$E$15:$E$514,"Saída",'📋 Movimentações'!$D$15:$D$514,"Mercado"),0)</f>
        <v>0</v>
      </c>
      <c r="G74" s="89">
        <f>IFERROR(SUMIFS('📋 Movimentações'!$F$15:$F$514,'📋 Movimentações'!$B$15:$B$514,"&gt;="&amp;DATE(YEAR(P71+-30),MONTH(P71+-30),1),'📋 Movimentações'!$B$15:$B$514,"&lt;="&amp;EOMONTH(DATE(YEAR(P71+-30),MONTH(P71+-30),1),0),'📋 Movimentações'!$E$15:$E$514,"Saída",'📋 Movimentações'!$D$15:$D$514,"Mercado"),0)</f>
        <v>0</v>
      </c>
      <c r="H74" s="90">
        <f>IFERROR(SUMIFS('📋 Movimentações'!$F$15:$F$514,'📋 Movimentações'!$B$15:$B$514,"&gt;="&amp;DATE(YEAR(P71+0),MONTH(P71+0),1),'📋 Movimentações'!$B$15:$B$514,"&lt;="&amp;EOMONTH(DATE(YEAR(P71+0),MONTH(P71+0),1),0),'📋 Movimentações'!$E$15:$E$514,"Saída",'📋 Movimentações'!$D$15:$D$514,"Mercado"),0)</f>
        <v>0</v>
      </c>
      <c r="I74" s="91">
        <v>298000</v>
      </c>
      <c r="J74" s="83">
        <v>305000</v>
      </c>
      <c r="K74" s="83">
        <v>290000</v>
      </c>
      <c r="L74" s="83">
        <v>295000</v>
      </c>
      <c r="M74" s="83">
        <v>310000</v>
      </c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</row>
    <row r="75" spans="1:24" ht="18" customHeight="1">
      <c r="A75" s="83" t="s">
        <v>114</v>
      </c>
      <c r="B75" s="15" t="s">
        <v>34</v>
      </c>
      <c r="C75" s="92">
        <f>IFERROR(SUMIFS('📋 Movimentações'!$F$15:$F$514,'📋 Movimentações'!$B$15:$B$514,"&gt;="&amp;DATE(YEAR(P71+-150),MONTH(P71+-150),1),'📋 Movimentações'!$B$15:$B$514,"&lt;="&amp;EOMONTH(DATE(YEAR(P71+-150),MONTH(P71+-150),1),0),'📋 Movimentações'!$E$15:$E$514,"Saída",'📋 Movimentações'!$D$15:$D$514,"Transporte"),0)</f>
        <v>0</v>
      </c>
      <c r="D75" s="92">
        <f>IFERROR(SUMIFS('📋 Movimentações'!$F$15:$F$514,'📋 Movimentações'!$B$15:$B$514,"&gt;="&amp;DATE(YEAR(P71+-120),MONTH(P71+-120),1),'📋 Movimentações'!$B$15:$B$514,"&lt;="&amp;EOMONTH(DATE(YEAR(P71+-120),MONTH(P71+-120),1),0),'📋 Movimentações'!$E$15:$E$514,"Saída",'📋 Movimentações'!$D$15:$D$514,"Transporte"),0)</f>
        <v>0</v>
      </c>
      <c r="E75" s="92">
        <f>IFERROR(SUMIFS('📋 Movimentações'!$F$15:$F$514,'📋 Movimentações'!$B$15:$B$514,"&gt;="&amp;DATE(YEAR(P71+-90),MONTH(P71+-90),1),'📋 Movimentações'!$B$15:$B$514,"&lt;="&amp;EOMONTH(DATE(YEAR(P71+-90),MONTH(P71+-90),1),0),'📋 Movimentações'!$E$15:$E$514,"Saída",'📋 Movimentações'!$D$15:$D$514,"Transporte"),0)</f>
        <v>0</v>
      </c>
      <c r="F75" s="92">
        <f>IFERROR(SUMIFS('📋 Movimentações'!$F$15:$F$514,'📋 Movimentações'!$B$15:$B$514,"&gt;="&amp;DATE(YEAR(P71+-60),MONTH(P71+-60),1),'📋 Movimentações'!$B$15:$B$514,"&lt;="&amp;EOMONTH(DATE(YEAR(P71+-60),MONTH(P71+-60),1),0),'📋 Movimentações'!$E$15:$E$514,"Saída",'📋 Movimentações'!$D$15:$D$514,"Transporte"),0)</f>
        <v>0</v>
      </c>
      <c r="G75" s="92">
        <f>IFERROR(SUMIFS('📋 Movimentações'!$F$15:$F$514,'📋 Movimentações'!$B$15:$B$514,"&gt;="&amp;DATE(YEAR(P71+-30),MONTH(P71+-30),1),'📋 Movimentações'!$B$15:$B$514,"&lt;="&amp;EOMONTH(DATE(YEAR(P71+-30),MONTH(P71+-30),1),0),'📋 Movimentações'!$E$15:$E$514,"Saída",'📋 Movimentações'!$D$15:$D$514,"Transporte"),0)</f>
        <v>0</v>
      </c>
      <c r="H75" s="93">
        <f>IFERROR(SUMIFS('📋 Movimentações'!$F$15:$F$514,'📋 Movimentações'!$B$15:$B$514,"&gt;="&amp;DATE(YEAR(P71+0),MONTH(P71+0),1),'📋 Movimentações'!$B$15:$B$514,"&lt;="&amp;EOMONTH(DATE(YEAR(P71+0),MONTH(P71+0),1),0),'📋 Movimentações'!$E$15:$E$514,"Saída",'📋 Movimentações'!$D$15:$D$514,"Transporte"),0)</f>
        <v>0</v>
      </c>
      <c r="I75" s="94">
        <v>255000</v>
      </c>
      <c r="J75" s="83">
        <v>270000</v>
      </c>
      <c r="K75" s="83">
        <v>240000</v>
      </c>
      <c r="L75" s="83">
        <v>250000</v>
      </c>
      <c r="M75" s="83">
        <v>280000</v>
      </c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</row>
    <row r="76" spans="1:24" ht="18" customHeight="1">
      <c r="A76" s="83" t="s">
        <v>115</v>
      </c>
      <c r="B76" s="88" t="s">
        <v>36</v>
      </c>
      <c r="C76" s="89">
        <f>IFERROR(SUMIFS('📋 Movimentações'!$F$15:$F$514,'📋 Movimentações'!$B$15:$B$514,"&gt;="&amp;DATE(YEAR(P71+-150),MONTH(P71+-150),1),'📋 Movimentações'!$B$15:$B$514,"&lt;="&amp;EOMONTH(DATE(YEAR(P71+-150),MONTH(P71+-150),1),0),'📋 Movimentações'!$E$15:$E$514,"Saída",'📋 Movimentações'!$D$15:$D$514,"Lazer"),0)</f>
        <v>0</v>
      </c>
      <c r="D76" s="89">
        <f>IFERROR(SUMIFS('📋 Movimentações'!$F$15:$F$514,'📋 Movimentações'!$B$15:$B$514,"&gt;="&amp;DATE(YEAR(P71+-120),MONTH(P71+-120),1),'📋 Movimentações'!$B$15:$B$514,"&lt;="&amp;EOMONTH(DATE(YEAR(P71+-120),MONTH(P71+-120),1),0),'📋 Movimentações'!$E$15:$E$514,"Saída",'📋 Movimentações'!$D$15:$D$514,"Lazer"),0)</f>
        <v>0</v>
      </c>
      <c r="E76" s="89">
        <f>IFERROR(SUMIFS('📋 Movimentações'!$F$15:$F$514,'📋 Movimentações'!$B$15:$B$514,"&gt;="&amp;DATE(YEAR(P71+-90),MONTH(P71+-90),1),'📋 Movimentações'!$B$15:$B$514,"&lt;="&amp;EOMONTH(DATE(YEAR(P71+-90),MONTH(P71+-90),1),0),'📋 Movimentações'!$E$15:$E$514,"Saída",'📋 Movimentações'!$D$15:$D$514,"Lazer"),0)</f>
        <v>0</v>
      </c>
      <c r="F76" s="89">
        <f>IFERROR(SUMIFS('📋 Movimentações'!$F$15:$F$514,'📋 Movimentações'!$B$15:$B$514,"&gt;="&amp;DATE(YEAR(P71+-60),MONTH(P71+-60),1),'📋 Movimentações'!$B$15:$B$514,"&lt;="&amp;EOMONTH(DATE(YEAR(P71+-60),MONTH(P71+-60),1),0),'📋 Movimentações'!$E$15:$E$514,"Saída",'📋 Movimentações'!$D$15:$D$514,"Lazer"),0)</f>
        <v>0</v>
      </c>
      <c r="G76" s="89">
        <f>IFERROR(SUMIFS('📋 Movimentações'!$F$15:$F$514,'📋 Movimentações'!$B$15:$B$514,"&gt;="&amp;DATE(YEAR(P71+-30),MONTH(P71+-30),1),'📋 Movimentações'!$B$15:$B$514,"&lt;="&amp;EOMONTH(DATE(YEAR(P71+-30),MONTH(P71+-30),1),0),'📋 Movimentações'!$E$15:$E$514,"Saída",'📋 Movimentações'!$D$15:$D$514,"Lazer"),0)</f>
        <v>0</v>
      </c>
      <c r="H76" s="90">
        <f>IFERROR(SUMIFS('📋 Movimentações'!$F$15:$F$514,'📋 Movimentações'!$B$15:$B$514,"&gt;="&amp;DATE(YEAR(P71+0),MONTH(P71+0),1),'📋 Movimentações'!$B$15:$B$514,"&lt;="&amp;EOMONTH(DATE(YEAR(P71+0),MONTH(P71+0),1),0),'📋 Movimentações'!$E$15:$E$514,"Saída",'📋 Movimentações'!$D$15:$D$514,"Lazer"),0)</f>
        <v>0</v>
      </c>
      <c r="I76" s="91">
        <v>43000</v>
      </c>
      <c r="J76" s="83">
        <v>35000</v>
      </c>
      <c r="K76" s="83">
        <v>50000</v>
      </c>
      <c r="L76" s="83">
        <v>45000</v>
      </c>
      <c r="M76" s="83">
        <v>30000</v>
      </c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</row>
    <row r="77" spans="1:24" ht="18" customHeight="1">
      <c r="A77" s="83" t="s">
        <v>93</v>
      </c>
      <c r="B77" s="15" t="s">
        <v>39</v>
      </c>
      <c r="C77" s="92">
        <f>IFERROR(SUMIFS('📋 Movimentações'!$F$15:$F$514,'📋 Movimentações'!$B$15:$B$514,"&gt;="&amp;DATE(YEAR(P71+-150),MONTH(P71+-150),1),'📋 Movimentações'!$B$15:$B$514,"&lt;="&amp;EOMONTH(DATE(YEAR(P71+-150),MONTH(P71+-150),1),0),'📋 Movimentações'!$E$15:$E$514,"Saída",'📋 Movimentações'!$D$15:$D$514,"Remessa Brasil"),0)</f>
        <v>0</v>
      </c>
      <c r="D77" s="92">
        <f>IFERROR(SUMIFS('📋 Movimentações'!$F$15:$F$514,'📋 Movimentações'!$B$15:$B$514,"&gt;="&amp;DATE(YEAR(P71+-120),MONTH(P71+-120),1),'📋 Movimentações'!$B$15:$B$514,"&lt;="&amp;EOMONTH(DATE(YEAR(P71+-120),MONTH(P71+-120),1),0),'📋 Movimentações'!$E$15:$E$514,"Saída",'📋 Movimentações'!$D$15:$D$514,"Remessa Brasil"),0)</f>
        <v>0</v>
      </c>
      <c r="E77" s="92">
        <f>IFERROR(SUMIFS('📋 Movimentações'!$F$15:$F$514,'📋 Movimentações'!$B$15:$B$514,"&gt;="&amp;DATE(YEAR(P71+-90),MONTH(P71+-90),1),'📋 Movimentações'!$B$15:$B$514,"&lt;="&amp;EOMONTH(DATE(YEAR(P71+-90),MONTH(P71+-90),1),0),'📋 Movimentações'!$E$15:$E$514,"Saída",'📋 Movimentações'!$D$15:$D$514,"Remessa Brasil"),0)</f>
        <v>0</v>
      </c>
      <c r="F77" s="92">
        <f>IFERROR(SUMIFS('📋 Movimentações'!$F$15:$F$514,'📋 Movimentações'!$B$15:$B$514,"&gt;="&amp;DATE(YEAR(P71+-60),MONTH(P71+-60),1),'📋 Movimentações'!$B$15:$B$514,"&lt;="&amp;EOMONTH(DATE(YEAR(P71+-60),MONTH(P71+-60),1),0),'📋 Movimentações'!$E$15:$E$514,"Saída",'📋 Movimentações'!$D$15:$D$514,"Remessa Brasil"),0)</f>
        <v>0</v>
      </c>
      <c r="G77" s="92">
        <f>IFERROR(SUMIFS('📋 Movimentações'!$F$15:$F$514,'📋 Movimentações'!$B$15:$B$514,"&gt;="&amp;DATE(YEAR(P71+-30),MONTH(P71+-30),1),'📋 Movimentações'!$B$15:$B$514,"&lt;="&amp;EOMONTH(DATE(YEAR(P71+-30),MONTH(P71+-30),1),0),'📋 Movimentações'!$E$15:$E$514,"Saída",'📋 Movimentações'!$D$15:$D$514,"Remessa Brasil"),0)</f>
        <v>0</v>
      </c>
      <c r="H77" s="93">
        <f>IFERROR(SUMIFS('📋 Movimentações'!$F$15:$F$514,'📋 Movimentações'!$B$15:$B$514,"&gt;="&amp;DATE(YEAR(P71+0),MONTH(P71+0),1),'📋 Movimentações'!$B$15:$B$514,"&lt;="&amp;EOMONTH(DATE(YEAR(P71+0),MONTH(P71+0),1),0),'📋 Movimentações'!$E$15:$E$514,"Saída",'📋 Movimentações'!$D$15:$D$514,"Remessa Brasil"),0)</f>
        <v>0</v>
      </c>
      <c r="I77" s="94"/>
      <c r="J77" s="83"/>
      <c r="K77" s="83"/>
      <c r="L77" s="83"/>
      <c r="M77" s="83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</row>
    <row r="78" spans="1:24" ht="18" customHeight="1">
      <c r="A78" s="83" t="s">
        <v>17</v>
      </c>
      <c r="B78" s="88" t="s">
        <v>35</v>
      </c>
      <c r="C78" s="89">
        <f>IFERROR(SUMIFS('📋 Movimentações'!$F$15:$F$514,'📋 Movimentações'!$B$15:$B$514,"&gt;="&amp;DATE(YEAR(P71+-150),MONTH(P71+-150),1),'📋 Movimentações'!$B$15:$B$514,"&lt;="&amp;EOMONTH(DATE(YEAR(P71+-150),MONTH(P71+-150),1),0),'📋 Movimentações'!$E$15:$E$514,"Saída",'📋 Movimentações'!$D$15:$D$514,"Restaurantes"),0)</f>
        <v>0</v>
      </c>
      <c r="D78" s="89">
        <f>IFERROR(SUMIFS('📋 Movimentações'!$F$15:$F$514,'📋 Movimentações'!$B$15:$B$514,"&gt;="&amp;DATE(YEAR(P71+-120),MONTH(P71+-120),1),'📋 Movimentações'!$B$15:$B$514,"&lt;="&amp;EOMONTH(DATE(YEAR(P71+-120),MONTH(P71+-120),1),0),'📋 Movimentações'!$E$15:$E$514,"Saída",'📋 Movimentações'!$D$15:$D$514,"Restaurantes"),0)</f>
        <v>0</v>
      </c>
      <c r="E78" s="89">
        <f>IFERROR(SUMIFS('📋 Movimentações'!$F$15:$F$514,'📋 Movimentações'!$B$15:$B$514,"&gt;="&amp;DATE(YEAR(P71+-90),MONTH(P71+-90),1),'📋 Movimentações'!$B$15:$B$514,"&lt;="&amp;EOMONTH(DATE(YEAR(P71+-90),MONTH(P71+-90),1),0),'📋 Movimentações'!$E$15:$E$514,"Saída",'📋 Movimentações'!$D$15:$D$514,"Restaurantes"),0)</f>
        <v>0</v>
      </c>
      <c r="F78" s="89">
        <f>IFERROR(SUMIFS('📋 Movimentações'!$F$15:$F$514,'📋 Movimentações'!$B$15:$B$514,"&gt;="&amp;DATE(YEAR(P71+-60),MONTH(P71+-60),1),'📋 Movimentações'!$B$15:$B$514,"&lt;="&amp;EOMONTH(DATE(YEAR(P71+-60),MONTH(P71+-60),1),0),'📋 Movimentações'!$E$15:$E$514,"Saída",'📋 Movimentações'!$D$15:$D$514,"Restaurantes"),0)</f>
        <v>0</v>
      </c>
      <c r="G78" s="89">
        <f>IFERROR(SUMIFS('📋 Movimentações'!$F$15:$F$514,'📋 Movimentações'!$B$15:$B$514,"&gt;="&amp;DATE(YEAR(P71+-30),MONTH(P71+-30),1),'📋 Movimentações'!$B$15:$B$514,"&lt;="&amp;EOMONTH(DATE(YEAR(P71+-30),MONTH(P71+-30),1),0),'📋 Movimentações'!$E$15:$E$514,"Saída",'📋 Movimentações'!$D$15:$D$514,"Restaurantes"),0)</f>
        <v>0</v>
      </c>
      <c r="H78" s="90">
        <f>IFERROR(SUMIFS('📋 Movimentações'!$F$15:$F$514,'📋 Movimentações'!$B$15:$B$514,"&gt;="&amp;DATE(YEAR(P71+0),MONTH(P71+0),1),'📋 Movimentações'!$B$15:$B$514,"&lt;="&amp;EOMONTH(DATE(YEAR(P71+0),MONTH(P71+0),1),0),'📋 Movimentações'!$E$15:$E$514,"Saída",'📋 Movimentações'!$D$15:$D$514,"Restaurantes"),0)</f>
        <v>0</v>
      </c>
      <c r="I78" s="91"/>
      <c r="J78" s="83"/>
      <c r="K78" s="83"/>
      <c r="L78" s="83"/>
      <c r="M78" s="83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</row>
    <row r="79" spans="1:24" ht="18" customHeight="1">
      <c r="A79" s="83" t="s">
        <v>113</v>
      </c>
      <c r="B79" s="83">
        <v>45000</v>
      </c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</row>
    <row r="80" spans="1:24" ht="15" customHeight="1">
      <c r="A80" s="83" t="s">
        <v>116</v>
      </c>
      <c r="B80" s="83">
        <v>30000</v>
      </c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</row>
    <row r="81" spans="1:13" ht="15" customHeight="1">
      <c r="A81" s="83" t="s">
        <v>117</v>
      </c>
      <c r="B81" s="83">
        <v>25000</v>
      </c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3"/>
    </row>
    <row r="82" spans="1:13" ht="15" customHeight="1">
      <c r="A82" s="83" t="s">
        <v>118</v>
      </c>
      <c r="B82" s="83">
        <v>15000</v>
      </c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3"/>
    </row>
    <row r="83" spans="1:13" ht="15" customHeight="1">
      <c r="A83" s="83" t="s">
        <v>36</v>
      </c>
      <c r="B83" s="83">
        <v>20000</v>
      </c>
      <c r="C83" s="83"/>
      <c r="D83" s="83"/>
      <c r="E83" s="83"/>
      <c r="F83" s="83"/>
      <c r="G83" s="83"/>
      <c r="H83" s="83"/>
      <c r="I83" s="83"/>
      <c r="J83" s="83"/>
      <c r="K83" s="83"/>
      <c r="L83" s="83"/>
      <c r="M83" s="83"/>
    </row>
    <row r="84" spans="1:13" ht="15" customHeight="1">
      <c r="A84" s="83" t="s">
        <v>119</v>
      </c>
      <c r="B84" s="83">
        <v>12000</v>
      </c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3"/>
    </row>
    <row r="85" spans="1:13" ht="15" customHeight="1">
      <c r="A85" s="83" t="s">
        <v>120</v>
      </c>
      <c r="B85" s="83">
        <v>18000</v>
      </c>
      <c r="C85" s="83"/>
      <c r="D85" s="83"/>
      <c r="E85" s="83"/>
      <c r="F85" s="83"/>
      <c r="G85" s="83"/>
      <c r="H85" s="83"/>
      <c r="I85" s="83"/>
      <c r="J85" s="83"/>
      <c r="K85" s="83"/>
      <c r="L85" s="83"/>
      <c r="M85" s="83"/>
    </row>
    <row r="86" spans="1:13" ht="1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</row>
    <row r="87" spans="1:13" ht="1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</row>
    <row r="88" spans="1:13" ht="1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</row>
    <row r="89" spans="1:13" ht="1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</row>
    <row r="90" spans="1:13" ht="1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</row>
    <row r="91" spans="1:13" ht="1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</row>
  </sheetData>
  <mergeCells count="46">
    <mergeCell ref="B2:G3"/>
    <mergeCell ref="I2:K2"/>
    <mergeCell ref="I3:M3"/>
    <mergeCell ref="B7:D7"/>
    <mergeCell ref="F7:H7"/>
    <mergeCell ref="J7:L7"/>
    <mergeCell ref="B8:D9"/>
    <mergeCell ref="F8:H9"/>
    <mergeCell ref="J8:L9"/>
    <mergeCell ref="B10:D10"/>
    <mergeCell ref="F10:H10"/>
    <mergeCell ref="J10:L10"/>
    <mergeCell ref="B14:D14"/>
    <mergeCell ref="F14:H14"/>
    <mergeCell ref="J14:L14"/>
    <mergeCell ref="B15:D16"/>
    <mergeCell ref="F15:H16"/>
    <mergeCell ref="J15:L16"/>
    <mergeCell ref="B17:D17"/>
    <mergeCell ref="F17:H17"/>
    <mergeCell ref="J17:L17"/>
    <mergeCell ref="B20:M20"/>
    <mergeCell ref="B21:M21"/>
    <mergeCell ref="B23:M23"/>
    <mergeCell ref="B25:E25"/>
    <mergeCell ref="G25:I25"/>
    <mergeCell ref="B29:G29"/>
    <mergeCell ref="I29:M29"/>
    <mergeCell ref="B50:M50"/>
    <mergeCell ref="C52:I52"/>
    <mergeCell ref="J52:K52"/>
    <mergeCell ref="C53:I53"/>
    <mergeCell ref="J53:K53"/>
    <mergeCell ref="C54:I54"/>
    <mergeCell ref="J54:K54"/>
    <mergeCell ref="C55:I55"/>
    <mergeCell ref="J55:K55"/>
    <mergeCell ref="C56:I56"/>
    <mergeCell ref="J56:K56"/>
    <mergeCell ref="B61:M67"/>
    <mergeCell ref="B72:M72"/>
    <mergeCell ref="C57:I57"/>
    <mergeCell ref="J57:K57"/>
    <mergeCell ref="C58:I58"/>
    <mergeCell ref="J58:K58"/>
    <mergeCell ref="B60:M60"/>
  </mergeCells>
  <phoneticPr fontId="84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FB950"/>
  </sheetPr>
  <dimension ref="A1:I524"/>
  <sheetViews>
    <sheetView showGridLines="0" zoomScaleNormal="100" workbookViewId="0">
      <pane xSplit="1" ySplit="14" topLeftCell="B21" activePane="bottomRight" state="frozen"/>
      <selection pane="topRight" activeCell="B1" sqref="B1"/>
      <selection pane="bottomLeft" activeCell="A15" sqref="A15"/>
      <selection pane="bottomRight" activeCell="C26" sqref="C26"/>
    </sheetView>
  </sheetViews>
  <sheetFormatPr defaultColWidth="8.6640625" defaultRowHeight="14.4"/>
  <cols>
    <col min="1" max="1" width="2" customWidth="1"/>
    <col min="2" max="2" width="13" customWidth="1"/>
    <col min="3" max="3" width="30" customWidth="1"/>
    <col min="4" max="4" width="24" customWidth="1"/>
    <col min="5" max="5" width="11" customWidth="1"/>
    <col min="6" max="6" width="16" customWidth="1"/>
    <col min="7" max="7" width="22" customWidth="1"/>
    <col min="8" max="8" width="28" customWidth="1"/>
    <col min="9" max="9" width="2" customWidth="1"/>
  </cols>
  <sheetData>
    <row r="1" spans="1:9" ht="6" customHeight="1">
      <c r="A1" s="4"/>
      <c r="B1" s="4"/>
      <c r="C1" s="4"/>
      <c r="D1" s="4"/>
      <c r="E1" s="4"/>
      <c r="F1" s="4"/>
      <c r="G1" s="4"/>
      <c r="H1" s="4"/>
      <c r="I1" s="4"/>
    </row>
    <row r="2" spans="1:9" ht="25.5" customHeight="1">
      <c r="A2" s="4"/>
      <c r="B2" s="226" t="s">
        <v>121</v>
      </c>
      <c r="C2" s="226"/>
      <c r="D2" s="226"/>
      <c r="E2" s="226"/>
      <c r="F2" s="226"/>
      <c r="G2" s="226"/>
      <c r="H2" s="226"/>
      <c r="I2" s="226"/>
    </row>
    <row r="3" spans="1:9" ht="6" customHeight="1">
      <c r="A3" s="4"/>
      <c r="B3" s="4"/>
      <c r="C3" s="4"/>
      <c r="D3" s="4"/>
      <c r="E3" s="4"/>
      <c r="F3" s="4"/>
      <c r="G3" s="4"/>
      <c r="H3" s="4"/>
      <c r="I3" s="4"/>
    </row>
    <row r="4" spans="1:9" ht="19.5" customHeight="1">
      <c r="A4" s="4"/>
      <c r="B4" s="227" t="s">
        <v>122</v>
      </c>
      <c r="C4" s="227"/>
      <c r="D4" s="227"/>
      <c r="E4" s="227"/>
      <c r="F4" s="227"/>
      <c r="G4" s="227"/>
      <c r="H4" s="227"/>
      <c r="I4" s="227"/>
    </row>
    <row r="5" spans="1:9" ht="18" customHeight="1">
      <c r="A5" s="25"/>
      <c r="B5" s="95" t="s">
        <v>123</v>
      </c>
      <c r="C5" s="95" t="s">
        <v>124</v>
      </c>
      <c r="D5" s="95" t="s">
        <v>100</v>
      </c>
      <c r="E5" s="95" t="s">
        <v>4</v>
      </c>
      <c r="F5" s="95" t="s">
        <v>125</v>
      </c>
      <c r="G5" s="95" t="s">
        <v>126</v>
      </c>
      <c r="H5" s="95" t="s">
        <v>127</v>
      </c>
      <c r="I5" s="25"/>
    </row>
    <row r="6" spans="1:9" ht="19.5" customHeight="1">
      <c r="A6" s="47"/>
      <c r="B6" s="96">
        <v>46169</v>
      </c>
      <c r="C6" s="97" t="s">
        <v>7</v>
      </c>
      <c r="D6" s="98" t="s">
        <v>7</v>
      </c>
      <c r="E6" s="99" t="s">
        <v>128</v>
      </c>
      <c r="F6" s="100">
        <v>374000</v>
      </c>
      <c r="G6" s="98" t="s">
        <v>129</v>
      </c>
      <c r="H6" s="48" t="s">
        <v>130</v>
      </c>
      <c r="I6" s="47"/>
    </row>
    <row r="7" spans="1:9" ht="19.5" customHeight="1">
      <c r="A7" s="14"/>
      <c r="B7" s="101">
        <v>46169</v>
      </c>
      <c r="C7" s="102" t="s">
        <v>17</v>
      </c>
      <c r="D7" s="103" t="s">
        <v>17</v>
      </c>
      <c r="E7" s="104" t="s">
        <v>131</v>
      </c>
      <c r="F7" s="105">
        <v>30000</v>
      </c>
      <c r="G7" s="103" t="s">
        <v>132</v>
      </c>
      <c r="H7" s="44" t="s">
        <v>130</v>
      </c>
      <c r="I7" s="14"/>
    </row>
    <row r="8" spans="1:9" ht="19.5" customHeight="1">
      <c r="A8" s="47"/>
      <c r="B8" s="96">
        <v>46169</v>
      </c>
      <c r="C8" s="97" t="s">
        <v>113</v>
      </c>
      <c r="D8" s="98" t="s">
        <v>113</v>
      </c>
      <c r="E8" s="106" t="s">
        <v>131</v>
      </c>
      <c r="F8" s="100"/>
      <c r="G8" s="98" t="s">
        <v>133</v>
      </c>
      <c r="H8" s="48" t="s">
        <v>130</v>
      </c>
      <c r="I8" s="47"/>
    </row>
    <row r="9" spans="1:9" ht="19.5" customHeight="1">
      <c r="A9" s="14"/>
      <c r="B9" s="101">
        <v>46169</v>
      </c>
      <c r="C9" s="102" t="s">
        <v>134</v>
      </c>
      <c r="D9" s="103" t="s">
        <v>134</v>
      </c>
      <c r="E9" s="104" t="s">
        <v>131</v>
      </c>
      <c r="F9" s="105"/>
      <c r="G9" s="103" t="s">
        <v>135</v>
      </c>
      <c r="H9" s="44" t="s">
        <v>130</v>
      </c>
      <c r="I9" s="14"/>
    </row>
    <row r="10" spans="1:9" ht="19.5" customHeight="1">
      <c r="A10" s="47"/>
      <c r="B10" s="96">
        <v>46169</v>
      </c>
      <c r="C10" s="97" t="s">
        <v>136</v>
      </c>
      <c r="D10" s="98" t="s">
        <v>136</v>
      </c>
      <c r="E10" s="106" t="s">
        <v>131</v>
      </c>
      <c r="F10" s="100"/>
      <c r="G10" s="98" t="s">
        <v>137</v>
      </c>
      <c r="H10" s="48" t="s">
        <v>130</v>
      </c>
      <c r="I10" s="47"/>
    </row>
    <row r="11" spans="1:9" ht="19.5" customHeight="1">
      <c r="A11" s="14"/>
      <c r="B11" s="101">
        <v>46169</v>
      </c>
      <c r="C11" s="102" t="s">
        <v>39</v>
      </c>
      <c r="D11" s="103" t="s">
        <v>39</v>
      </c>
      <c r="E11" s="104" t="s">
        <v>131</v>
      </c>
      <c r="F11" s="105"/>
      <c r="G11" s="103" t="s">
        <v>129</v>
      </c>
      <c r="H11" s="44" t="s">
        <v>130</v>
      </c>
      <c r="I11" s="14"/>
    </row>
    <row r="12" spans="1:9" ht="3" customHeight="1">
      <c r="A12" s="75"/>
      <c r="B12" s="75"/>
      <c r="C12" s="75"/>
      <c r="D12" s="75"/>
      <c r="E12" s="75"/>
      <c r="F12" s="75"/>
      <c r="G12" s="75"/>
      <c r="H12" s="75"/>
      <c r="I12" s="75"/>
    </row>
    <row r="13" spans="1:9" ht="6" customHeight="1">
      <c r="A13" s="25"/>
      <c r="B13" s="25"/>
      <c r="C13" s="25"/>
      <c r="D13" s="25"/>
      <c r="E13" s="25"/>
      <c r="F13" s="25"/>
      <c r="G13" s="25"/>
      <c r="H13" s="25"/>
      <c r="I13" s="25"/>
    </row>
    <row r="14" spans="1:9" ht="19.5" customHeight="1">
      <c r="A14" s="25"/>
      <c r="B14" s="8" t="s">
        <v>123</v>
      </c>
      <c r="C14" s="8" t="s">
        <v>124</v>
      </c>
      <c r="D14" s="8" t="s">
        <v>100</v>
      </c>
      <c r="E14" s="8" t="s">
        <v>4</v>
      </c>
      <c r="F14" s="8" t="s">
        <v>125</v>
      </c>
      <c r="G14" s="8" t="s">
        <v>126</v>
      </c>
      <c r="H14" s="8" t="s">
        <v>138</v>
      </c>
      <c r="I14" s="25"/>
    </row>
    <row r="15" spans="1:9" ht="18" customHeight="1">
      <c r="A15" s="47"/>
      <c r="B15" s="107">
        <v>45802</v>
      </c>
      <c r="C15" s="88" t="s">
        <v>139</v>
      </c>
      <c r="D15" s="108" t="s">
        <v>7</v>
      </c>
      <c r="E15" s="109" t="s">
        <v>128</v>
      </c>
      <c r="F15" s="100">
        <v>374000</v>
      </c>
      <c r="G15" s="108" t="s">
        <v>129</v>
      </c>
      <c r="H15" s="98"/>
      <c r="I15" s="47"/>
    </row>
    <row r="16" spans="1:9" ht="18" customHeight="1">
      <c r="A16" s="14"/>
      <c r="B16" s="107">
        <v>45802</v>
      </c>
      <c r="C16" s="15" t="s">
        <v>140</v>
      </c>
      <c r="D16" s="111" t="s">
        <v>11</v>
      </c>
      <c r="E16" s="112" t="s">
        <v>128</v>
      </c>
      <c r="F16" s="105">
        <v>55000</v>
      </c>
      <c r="G16" s="111" t="s">
        <v>129</v>
      </c>
      <c r="H16" s="103"/>
      <c r="I16" s="14"/>
    </row>
    <row r="17" spans="1:9" ht="18" customHeight="1">
      <c r="A17" s="47"/>
      <c r="B17" s="107">
        <v>45802</v>
      </c>
      <c r="C17" s="88" t="s">
        <v>141</v>
      </c>
      <c r="D17" s="108" t="s">
        <v>17</v>
      </c>
      <c r="E17" s="109" t="s">
        <v>131</v>
      </c>
      <c r="F17" s="100">
        <v>30000</v>
      </c>
      <c r="G17" s="111" t="s">
        <v>137</v>
      </c>
      <c r="H17" s="98"/>
      <c r="I17" s="47"/>
    </row>
    <row r="18" spans="1:9" ht="18" customHeight="1">
      <c r="A18" s="14"/>
      <c r="B18" s="107">
        <v>45802</v>
      </c>
      <c r="C18" s="194" t="s">
        <v>255</v>
      </c>
      <c r="D18" s="111" t="s">
        <v>113</v>
      </c>
      <c r="E18" s="112" t="s">
        <v>131</v>
      </c>
      <c r="F18" s="105">
        <v>0</v>
      </c>
      <c r="G18" s="111" t="s">
        <v>137</v>
      </c>
      <c r="H18" s="103" t="s">
        <v>142</v>
      </c>
      <c r="I18" s="14"/>
    </row>
    <row r="19" spans="1:9" ht="18" customHeight="1">
      <c r="A19" s="47"/>
      <c r="B19" s="107">
        <v>45802</v>
      </c>
      <c r="C19" s="88" t="s">
        <v>143</v>
      </c>
      <c r="D19" s="108" t="s">
        <v>21</v>
      </c>
      <c r="E19" s="109" t="s">
        <v>131</v>
      </c>
      <c r="F19" s="100">
        <v>0</v>
      </c>
      <c r="G19" s="111" t="s">
        <v>137</v>
      </c>
      <c r="H19" s="98"/>
      <c r="I19" s="47"/>
    </row>
    <row r="20" spans="1:9" ht="18" customHeight="1">
      <c r="A20" s="14"/>
      <c r="B20" s="107">
        <v>45802</v>
      </c>
      <c r="C20" s="15" t="s">
        <v>144</v>
      </c>
      <c r="D20" s="111" t="s">
        <v>22</v>
      </c>
      <c r="E20" s="112" t="s">
        <v>131</v>
      </c>
      <c r="F20" s="105">
        <v>32412</v>
      </c>
      <c r="G20" s="111" t="s">
        <v>137</v>
      </c>
      <c r="H20" s="103"/>
      <c r="I20" s="14"/>
    </row>
    <row r="21" spans="1:9" ht="18" customHeight="1">
      <c r="A21" s="47"/>
      <c r="B21" s="107">
        <v>45802</v>
      </c>
      <c r="C21" s="88" t="s">
        <v>145</v>
      </c>
      <c r="D21" s="108" t="s">
        <v>134</v>
      </c>
      <c r="E21" s="109" t="s">
        <v>131</v>
      </c>
      <c r="F21" s="100">
        <v>0</v>
      </c>
      <c r="G21" s="111" t="s">
        <v>137</v>
      </c>
      <c r="H21" s="98"/>
      <c r="I21" s="47"/>
    </row>
    <row r="22" spans="1:9" ht="18" customHeight="1">
      <c r="A22" s="14"/>
      <c r="B22" s="107">
        <v>45802</v>
      </c>
      <c r="C22" s="194" t="s">
        <v>254</v>
      </c>
      <c r="D22" s="111" t="s">
        <v>35</v>
      </c>
      <c r="E22" s="112" t="s">
        <v>131</v>
      </c>
      <c r="F22" s="105">
        <v>0</v>
      </c>
      <c r="G22" s="111" t="s">
        <v>137</v>
      </c>
      <c r="H22" s="103"/>
      <c r="I22" s="14"/>
    </row>
    <row r="23" spans="1:9" ht="18" customHeight="1">
      <c r="A23" s="47"/>
      <c r="B23" s="107">
        <v>45802</v>
      </c>
      <c r="C23" s="88" t="s">
        <v>23</v>
      </c>
      <c r="D23" s="108" t="s">
        <v>23</v>
      </c>
      <c r="E23" s="109" t="s">
        <v>131</v>
      </c>
      <c r="F23" s="100">
        <v>6000</v>
      </c>
      <c r="G23" s="111" t="s">
        <v>137</v>
      </c>
      <c r="H23" s="98"/>
      <c r="I23" s="47"/>
    </row>
    <row r="24" spans="1:9" ht="18" customHeight="1">
      <c r="A24" s="14"/>
      <c r="B24" s="107">
        <v>45802</v>
      </c>
      <c r="C24" s="15" t="s">
        <v>146</v>
      </c>
      <c r="D24" s="111" t="s">
        <v>136</v>
      </c>
      <c r="E24" s="112" t="s">
        <v>131</v>
      </c>
      <c r="F24" s="105">
        <v>0</v>
      </c>
      <c r="G24" s="111" t="s">
        <v>137</v>
      </c>
      <c r="H24" s="103"/>
      <c r="I24" s="14"/>
    </row>
    <row r="25" spans="1:9" ht="18" customHeight="1">
      <c r="A25" s="47"/>
      <c r="B25" s="107">
        <v>45802</v>
      </c>
      <c r="C25" s="261" t="s">
        <v>258</v>
      </c>
      <c r="D25" s="108" t="s">
        <v>259</v>
      </c>
      <c r="E25" s="109" t="s">
        <v>131</v>
      </c>
      <c r="F25" s="100">
        <v>43160</v>
      </c>
      <c r="G25" s="108"/>
      <c r="H25" s="98"/>
      <c r="I25" s="47"/>
    </row>
    <row r="26" spans="1:9" ht="18" customHeight="1">
      <c r="A26" s="14"/>
      <c r="B26" s="110"/>
      <c r="C26" s="15"/>
      <c r="D26" s="111"/>
      <c r="E26" s="112"/>
      <c r="F26" s="105"/>
      <c r="G26" s="111"/>
      <c r="H26" s="103"/>
      <c r="I26" s="14"/>
    </row>
    <row r="27" spans="1:9" ht="18" customHeight="1">
      <c r="A27" s="47"/>
      <c r="B27" s="107"/>
      <c r="C27" s="88"/>
      <c r="D27" s="108"/>
      <c r="E27" s="109"/>
      <c r="F27" s="100"/>
      <c r="G27" s="108"/>
      <c r="H27" s="98"/>
      <c r="I27" s="47"/>
    </row>
    <row r="28" spans="1:9" ht="18" customHeight="1">
      <c r="A28" s="14"/>
      <c r="B28" s="110"/>
      <c r="C28" s="15"/>
      <c r="D28" s="111"/>
      <c r="E28" s="112"/>
      <c r="F28" s="105"/>
      <c r="G28" s="111"/>
      <c r="H28" s="103"/>
      <c r="I28" s="14"/>
    </row>
    <row r="29" spans="1:9" ht="18" customHeight="1">
      <c r="A29" s="47"/>
      <c r="B29" s="107"/>
      <c r="C29" s="88"/>
      <c r="D29" s="108"/>
      <c r="E29" s="109"/>
      <c r="F29" s="100"/>
      <c r="G29" s="108"/>
      <c r="H29" s="98"/>
      <c r="I29" s="47"/>
    </row>
    <row r="30" spans="1:9" ht="18" customHeight="1">
      <c r="A30" s="14"/>
      <c r="B30" s="110"/>
      <c r="C30" s="15"/>
      <c r="D30" s="111"/>
      <c r="E30" s="112"/>
      <c r="F30" s="105"/>
      <c r="G30" s="111"/>
      <c r="H30" s="103"/>
      <c r="I30" s="14"/>
    </row>
    <row r="31" spans="1:9" ht="18" customHeight="1">
      <c r="A31" s="47"/>
      <c r="B31" s="107"/>
      <c r="C31" s="88"/>
      <c r="D31" s="108"/>
      <c r="E31" s="109"/>
      <c r="F31" s="100"/>
      <c r="G31" s="108"/>
      <c r="H31" s="98"/>
      <c r="I31" s="47"/>
    </row>
    <row r="32" spans="1:9" ht="18" customHeight="1">
      <c r="A32" s="14"/>
      <c r="B32" s="110"/>
      <c r="C32" s="15"/>
      <c r="D32" s="111"/>
      <c r="E32" s="112"/>
      <c r="F32" s="105"/>
      <c r="G32" s="111"/>
      <c r="H32" s="103"/>
      <c r="I32" s="14"/>
    </row>
    <row r="33" spans="1:9" ht="18" customHeight="1">
      <c r="A33" s="47"/>
      <c r="B33" s="107"/>
      <c r="C33" s="88"/>
      <c r="D33" s="108"/>
      <c r="E33" s="109"/>
      <c r="F33" s="100"/>
      <c r="G33" s="108"/>
      <c r="H33" s="98"/>
      <c r="I33" s="47"/>
    </row>
    <row r="34" spans="1:9" ht="18" customHeight="1">
      <c r="A34" s="14"/>
      <c r="B34" s="110"/>
      <c r="C34" s="15"/>
      <c r="D34" s="111"/>
      <c r="E34" s="112"/>
      <c r="F34" s="105"/>
      <c r="G34" s="111"/>
      <c r="H34" s="103"/>
      <c r="I34" s="14"/>
    </row>
    <row r="35" spans="1:9" ht="18" customHeight="1">
      <c r="A35" s="47"/>
      <c r="B35" s="107"/>
      <c r="C35" s="88"/>
      <c r="D35" s="108"/>
      <c r="E35" s="109"/>
      <c r="F35" s="100"/>
      <c r="G35" s="108"/>
      <c r="H35" s="98"/>
      <c r="I35" s="47"/>
    </row>
    <row r="36" spans="1:9" ht="18" customHeight="1">
      <c r="A36" s="14"/>
      <c r="B36" s="110"/>
      <c r="C36" s="15"/>
      <c r="D36" s="111"/>
      <c r="E36" s="112"/>
      <c r="F36" s="105"/>
      <c r="G36" s="111"/>
      <c r="H36" s="103"/>
      <c r="I36" s="14"/>
    </row>
    <row r="37" spans="1:9" ht="18" customHeight="1">
      <c r="A37" s="47"/>
      <c r="B37" s="107"/>
      <c r="C37" s="88"/>
      <c r="D37" s="108"/>
      <c r="E37" s="109"/>
      <c r="F37" s="100"/>
      <c r="G37" s="108"/>
      <c r="H37" s="98"/>
      <c r="I37" s="47"/>
    </row>
    <row r="38" spans="1:9" ht="18" customHeight="1">
      <c r="A38" s="14"/>
      <c r="B38" s="110"/>
      <c r="C38" s="15"/>
      <c r="D38" s="111"/>
      <c r="E38" s="112"/>
      <c r="F38" s="105"/>
      <c r="G38" s="111"/>
      <c r="H38" s="103"/>
      <c r="I38" s="14"/>
    </row>
    <row r="39" spans="1:9" ht="18" customHeight="1">
      <c r="A39" s="47"/>
      <c r="B39" s="107"/>
      <c r="C39" s="88"/>
      <c r="D39" s="108"/>
      <c r="E39" s="109"/>
      <c r="F39" s="100"/>
      <c r="G39" s="108"/>
      <c r="H39" s="98"/>
      <c r="I39" s="47"/>
    </row>
    <row r="40" spans="1:9" ht="18" customHeight="1">
      <c r="A40" s="14"/>
      <c r="B40" s="110"/>
      <c r="C40" s="15"/>
      <c r="D40" s="111"/>
      <c r="E40" s="112"/>
      <c r="F40" s="105"/>
      <c r="G40" s="111"/>
      <c r="H40" s="103"/>
      <c r="I40" s="14"/>
    </row>
    <row r="41" spans="1:9" ht="18" customHeight="1">
      <c r="A41" s="47"/>
      <c r="B41" s="107"/>
      <c r="C41" s="88"/>
      <c r="D41" s="108"/>
      <c r="E41" s="109"/>
      <c r="F41" s="100"/>
      <c r="G41" s="108"/>
      <c r="H41" s="98"/>
      <c r="I41" s="47"/>
    </row>
    <row r="42" spans="1:9" ht="18" customHeight="1">
      <c r="A42" s="14"/>
      <c r="B42" s="110"/>
      <c r="C42" s="15"/>
      <c r="D42" s="111"/>
      <c r="E42" s="112"/>
      <c r="F42" s="105"/>
      <c r="G42" s="111"/>
      <c r="H42" s="103"/>
      <c r="I42" s="14"/>
    </row>
    <row r="43" spans="1:9" ht="18" customHeight="1">
      <c r="A43" s="47"/>
      <c r="B43" s="107"/>
      <c r="C43" s="88"/>
      <c r="D43" s="108"/>
      <c r="E43" s="109"/>
      <c r="F43" s="100"/>
      <c r="G43" s="108"/>
      <c r="H43" s="98"/>
      <c r="I43" s="47"/>
    </row>
    <row r="44" spans="1:9" ht="18" customHeight="1">
      <c r="A44" s="14"/>
      <c r="B44" s="110"/>
      <c r="C44" s="15"/>
      <c r="D44" s="111"/>
      <c r="E44" s="112"/>
      <c r="F44" s="105"/>
      <c r="G44" s="111"/>
      <c r="H44" s="103"/>
      <c r="I44" s="14"/>
    </row>
    <row r="45" spans="1:9" ht="18" customHeight="1">
      <c r="A45" s="47"/>
      <c r="B45" s="107"/>
      <c r="C45" s="88"/>
      <c r="D45" s="108"/>
      <c r="E45" s="109"/>
      <c r="F45" s="100"/>
      <c r="G45" s="108"/>
      <c r="H45" s="98"/>
      <c r="I45" s="47"/>
    </row>
    <row r="46" spans="1:9" ht="18" customHeight="1">
      <c r="A46" s="14"/>
      <c r="B46" s="110"/>
      <c r="C46" s="15"/>
      <c r="D46" s="111"/>
      <c r="E46" s="112"/>
      <c r="F46" s="105"/>
      <c r="G46" s="111"/>
      <c r="H46" s="103"/>
      <c r="I46" s="14"/>
    </row>
    <row r="47" spans="1:9" ht="18" customHeight="1">
      <c r="A47" s="47"/>
      <c r="B47" s="107"/>
      <c r="C47" s="88"/>
      <c r="D47" s="108"/>
      <c r="E47" s="109"/>
      <c r="F47" s="100"/>
      <c r="G47" s="108"/>
      <c r="H47" s="98"/>
      <c r="I47" s="47"/>
    </row>
    <row r="48" spans="1:9" ht="18" customHeight="1">
      <c r="A48" s="14"/>
      <c r="B48" s="110"/>
      <c r="C48" s="15"/>
      <c r="D48" s="111"/>
      <c r="E48" s="112"/>
      <c r="F48" s="105"/>
      <c r="G48" s="111"/>
      <c r="H48" s="103"/>
      <c r="I48" s="14"/>
    </row>
    <row r="49" spans="1:9" ht="18" customHeight="1">
      <c r="A49" s="47"/>
      <c r="B49" s="107"/>
      <c r="C49" s="88"/>
      <c r="D49" s="108"/>
      <c r="E49" s="109"/>
      <c r="F49" s="100"/>
      <c r="G49" s="108"/>
      <c r="H49" s="98"/>
      <c r="I49" s="47"/>
    </row>
    <row r="50" spans="1:9" ht="18" customHeight="1">
      <c r="A50" s="14"/>
      <c r="B50" s="110"/>
      <c r="C50" s="15"/>
      <c r="D50" s="111"/>
      <c r="E50" s="112"/>
      <c r="F50" s="105"/>
      <c r="G50" s="111"/>
      <c r="H50" s="103"/>
      <c r="I50" s="14"/>
    </row>
    <row r="51" spans="1:9" ht="18" customHeight="1">
      <c r="A51" s="47"/>
      <c r="B51" s="107"/>
      <c r="C51" s="88"/>
      <c r="D51" s="108"/>
      <c r="E51" s="109"/>
      <c r="F51" s="100"/>
      <c r="G51" s="108"/>
      <c r="H51" s="98"/>
      <c r="I51" s="47"/>
    </row>
    <row r="52" spans="1:9" ht="18" customHeight="1">
      <c r="A52" s="14"/>
      <c r="B52" s="110"/>
      <c r="C52" s="15"/>
      <c r="D52" s="111"/>
      <c r="E52" s="112"/>
      <c r="F52" s="105"/>
      <c r="G52" s="111"/>
      <c r="H52" s="103"/>
      <c r="I52" s="14"/>
    </row>
    <row r="53" spans="1:9" ht="18" customHeight="1">
      <c r="A53" s="47"/>
      <c r="B53" s="107"/>
      <c r="C53" s="88"/>
      <c r="D53" s="108"/>
      <c r="E53" s="109"/>
      <c r="F53" s="100"/>
      <c r="G53" s="108"/>
      <c r="H53" s="98"/>
      <c r="I53" s="47"/>
    </row>
    <row r="54" spans="1:9" ht="18" customHeight="1">
      <c r="A54" s="14"/>
      <c r="B54" s="110"/>
      <c r="C54" s="15"/>
      <c r="D54" s="111"/>
      <c r="E54" s="112"/>
      <c r="F54" s="105"/>
      <c r="G54" s="111"/>
      <c r="H54" s="103"/>
      <c r="I54" s="14"/>
    </row>
    <row r="55" spans="1:9" ht="18" customHeight="1">
      <c r="A55" s="47"/>
      <c r="B55" s="107"/>
      <c r="C55" s="88"/>
      <c r="D55" s="108"/>
      <c r="E55" s="109"/>
      <c r="F55" s="100"/>
      <c r="G55" s="108"/>
      <c r="H55" s="98"/>
      <c r="I55" s="47"/>
    </row>
    <row r="56" spans="1:9" ht="18" customHeight="1">
      <c r="A56" s="14"/>
      <c r="B56" s="110"/>
      <c r="C56" s="15"/>
      <c r="D56" s="111"/>
      <c r="E56" s="112"/>
      <c r="F56" s="105"/>
      <c r="G56" s="111"/>
      <c r="H56" s="103"/>
      <c r="I56" s="14"/>
    </row>
    <row r="57" spans="1:9" ht="18" customHeight="1">
      <c r="A57" s="47"/>
      <c r="B57" s="107"/>
      <c r="C57" s="88"/>
      <c r="D57" s="108"/>
      <c r="E57" s="109"/>
      <c r="F57" s="100"/>
      <c r="G57" s="108"/>
      <c r="H57" s="98"/>
      <c r="I57" s="47"/>
    </row>
    <row r="58" spans="1:9" ht="18" customHeight="1">
      <c r="A58" s="14"/>
      <c r="B58" s="110"/>
      <c r="C58" s="15"/>
      <c r="D58" s="111"/>
      <c r="E58" s="112"/>
      <c r="F58" s="105"/>
      <c r="G58" s="111"/>
      <c r="H58" s="103"/>
      <c r="I58" s="14"/>
    </row>
    <row r="59" spans="1:9" ht="18" customHeight="1">
      <c r="A59" s="47"/>
      <c r="B59" s="107"/>
      <c r="C59" s="88"/>
      <c r="D59" s="108"/>
      <c r="E59" s="109"/>
      <c r="F59" s="100"/>
      <c r="G59" s="108"/>
      <c r="H59" s="98"/>
      <c r="I59" s="47"/>
    </row>
    <row r="60" spans="1:9" ht="18" customHeight="1">
      <c r="A60" s="14"/>
      <c r="B60" s="110"/>
      <c r="C60" s="15"/>
      <c r="D60" s="111"/>
      <c r="E60" s="112"/>
      <c r="F60" s="105"/>
      <c r="G60" s="111"/>
      <c r="H60" s="103"/>
      <c r="I60" s="14"/>
    </row>
    <row r="61" spans="1:9" ht="18" customHeight="1">
      <c r="A61" s="47"/>
      <c r="B61" s="107"/>
      <c r="C61" s="88"/>
      <c r="D61" s="108"/>
      <c r="E61" s="109"/>
      <c r="F61" s="100"/>
      <c r="G61" s="108"/>
      <c r="H61" s="98"/>
      <c r="I61" s="47"/>
    </row>
    <row r="62" spans="1:9" ht="18" customHeight="1">
      <c r="A62" s="14"/>
      <c r="B62" s="110"/>
      <c r="C62" s="15"/>
      <c r="D62" s="111"/>
      <c r="E62" s="112"/>
      <c r="F62" s="105"/>
      <c r="G62" s="111"/>
      <c r="H62" s="103"/>
      <c r="I62" s="14"/>
    </row>
    <row r="63" spans="1:9" ht="18" customHeight="1">
      <c r="A63" s="47"/>
      <c r="B63" s="107"/>
      <c r="C63" s="88"/>
      <c r="D63" s="108"/>
      <c r="E63" s="109"/>
      <c r="F63" s="100"/>
      <c r="G63" s="108"/>
      <c r="H63" s="98"/>
      <c r="I63" s="47"/>
    </row>
    <row r="64" spans="1:9" ht="18" customHeight="1">
      <c r="A64" s="14"/>
      <c r="B64" s="110"/>
      <c r="C64" s="15"/>
      <c r="D64" s="111"/>
      <c r="E64" s="112"/>
      <c r="F64" s="105"/>
      <c r="G64" s="111"/>
      <c r="H64" s="103"/>
      <c r="I64" s="14"/>
    </row>
    <row r="65" spans="1:9" ht="18" customHeight="1">
      <c r="A65" s="47"/>
      <c r="B65" s="107"/>
      <c r="C65" s="88"/>
      <c r="D65" s="108"/>
      <c r="E65" s="109"/>
      <c r="F65" s="100"/>
      <c r="G65" s="108"/>
      <c r="H65" s="98"/>
      <c r="I65" s="47"/>
    </row>
    <row r="66" spans="1:9" ht="18" customHeight="1">
      <c r="A66" s="14"/>
      <c r="B66" s="110"/>
      <c r="C66" s="15"/>
      <c r="D66" s="111"/>
      <c r="E66" s="112"/>
      <c r="F66" s="105"/>
      <c r="G66" s="111"/>
      <c r="H66" s="103"/>
      <c r="I66" s="14"/>
    </row>
    <row r="67" spans="1:9" ht="18" customHeight="1">
      <c r="A67" s="47"/>
      <c r="B67" s="107"/>
      <c r="C67" s="88"/>
      <c r="D67" s="108"/>
      <c r="E67" s="109"/>
      <c r="F67" s="100"/>
      <c r="G67" s="108"/>
      <c r="H67" s="98"/>
      <c r="I67" s="47"/>
    </row>
    <row r="68" spans="1:9" ht="18" customHeight="1">
      <c r="A68" s="14"/>
      <c r="B68" s="110"/>
      <c r="C68" s="15"/>
      <c r="D68" s="111"/>
      <c r="E68" s="112"/>
      <c r="F68" s="105"/>
      <c r="G68" s="111"/>
      <c r="H68" s="103"/>
      <c r="I68" s="14"/>
    </row>
    <row r="69" spans="1:9" ht="18" customHeight="1">
      <c r="A69" s="47"/>
      <c r="B69" s="107"/>
      <c r="C69" s="88"/>
      <c r="D69" s="108"/>
      <c r="E69" s="109"/>
      <c r="F69" s="100"/>
      <c r="G69" s="108"/>
      <c r="H69" s="98"/>
      <c r="I69" s="47"/>
    </row>
    <row r="70" spans="1:9" ht="18" customHeight="1">
      <c r="A70" s="14"/>
      <c r="B70" s="110"/>
      <c r="C70" s="15"/>
      <c r="D70" s="111"/>
      <c r="E70" s="112"/>
      <c r="F70" s="105"/>
      <c r="G70" s="111"/>
      <c r="H70" s="103"/>
      <c r="I70" s="14"/>
    </row>
    <row r="71" spans="1:9" ht="18" customHeight="1">
      <c r="A71" s="47"/>
      <c r="B71" s="107"/>
      <c r="C71" s="88"/>
      <c r="D71" s="108"/>
      <c r="E71" s="109"/>
      <c r="F71" s="100"/>
      <c r="G71" s="108"/>
      <c r="H71" s="98"/>
      <c r="I71" s="47"/>
    </row>
    <row r="72" spans="1:9" ht="18" customHeight="1">
      <c r="A72" s="14"/>
      <c r="B72" s="110"/>
      <c r="C72" s="15"/>
      <c r="D72" s="111"/>
      <c r="E72" s="112"/>
      <c r="F72" s="105"/>
      <c r="G72" s="111"/>
      <c r="H72" s="103"/>
      <c r="I72" s="14"/>
    </row>
    <row r="73" spans="1:9" ht="18" customHeight="1">
      <c r="A73" s="47"/>
      <c r="B73" s="107"/>
      <c r="C73" s="88"/>
      <c r="D73" s="108"/>
      <c r="E73" s="109"/>
      <c r="F73" s="100"/>
      <c r="G73" s="108"/>
      <c r="H73" s="98"/>
      <c r="I73" s="47"/>
    </row>
    <row r="74" spans="1:9" ht="18" customHeight="1">
      <c r="A74" s="14"/>
      <c r="B74" s="110"/>
      <c r="C74" s="15"/>
      <c r="D74" s="111"/>
      <c r="E74" s="112"/>
      <c r="F74" s="105"/>
      <c r="G74" s="111"/>
      <c r="H74" s="103"/>
      <c r="I74" s="14"/>
    </row>
    <row r="75" spans="1:9" ht="18" customHeight="1">
      <c r="A75" s="47"/>
      <c r="B75" s="107"/>
      <c r="C75" s="88"/>
      <c r="D75" s="108"/>
      <c r="E75" s="109"/>
      <c r="F75" s="100"/>
      <c r="G75" s="108"/>
      <c r="H75" s="98"/>
      <c r="I75" s="47"/>
    </row>
    <row r="76" spans="1:9" ht="18" customHeight="1">
      <c r="A76" s="14"/>
      <c r="B76" s="110"/>
      <c r="C76" s="15"/>
      <c r="D76" s="111"/>
      <c r="E76" s="112"/>
      <c r="F76" s="105"/>
      <c r="G76" s="111"/>
      <c r="H76" s="103"/>
      <c r="I76" s="14"/>
    </row>
    <row r="77" spans="1:9" ht="18" customHeight="1">
      <c r="A77" s="47"/>
      <c r="B77" s="107"/>
      <c r="C77" s="88"/>
      <c r="D77" s="108"/>
      <c r="E77" s="109"/>
      <c r="F77" s="100"/>
      <c r="G77" s="108"/>
      <c r="H77" s="98"/>
      <c r="I77" s="47"/>
    </row>
    <row r="78" spans="1:9" ht="18" customHeight="1">
      <c r="A78" s="14"/>
      <c r="B78" s="110"/>
      <c r="C78" s="15"/>
      <c r="D78" s="111"/>
      <c r="E78" s="112"/>
      <c r="F78" s="105"/>
      <c r="G78" s="111"/>
      <c r="H78" s="103"/>
      <c r="I78" s="14"/>
    </row>
    <row r="79" spans="1:9" ht="18" customHeight="1">
      <c r="A79" s="47"/>
      <c r="B79" s="107"/>
      <c r="C79" s="88"/>
      <c r="D79" s="108"/>
      <c r="E79" s="109"/>
      <c r="F79" s="100"/>
      <c r="G79" s="108"/>
      <c r="H79" s="98"/>
      <c r="I79" s="47"/>
    </row>
    <row r="80" spans="1:9" ht="18" customHeight="1">
      <c r="A80" s="14"/>
      <c r="B80" s="110"/>
      <c r="C80" s="15"/>
      <c r="D80" s="111"/>
      <c r="E80" s="112"/>
      <c r="F80" s="105"/>
      <c r="G80" s="111"/>
      <c r="H80" s="103"/>
      <c r="I80" s="14"/>
    </row>
    <row r="81" spans="1:9" ht="18" customHeight="1">
      <c r="A81" s="47"/>
      <c r="B81" s="107"/>
      <c r="C81" s="88"/>
      <c r="D81" s="108"/>
      <c r="E81" s="109"/>
      <c r="F81" s="100"/>
      <c r="G81" s="108"/>
      <c r="H81" s="98"/>
      <c r="I81" s="47"/>
    </row>
    <row r="82" spans="1:9" ht="18" customHeight="1">
      <c r="A82" s="14"/>
      <c r="B82" s="110"/>
      <c r="C82" s="15"/>
      <c r="D82" s="111"/>
      <c r="E82" s="112"/>
      <c r="F82" s="105"/>
      <c r="G82" s="111"/>
      <c r="H82" s="103"/>
      <c r="I82" s="14"/>
    </row>
    <row r="83" spans="1:9" ht="18" customHeight="1">
      <c r="A83" s="47"/>
      <c r="B83" s="107"/>
      <c r="C83" s="88"/>
      <c r="D83" s="108"/>
      <c r="E83" s="109"/>
      <c r="F83" s="100"/>
      <c r="G83" s="108"/>
      <c r="H83" s="98"/>
      <c r="I83" s="47"/>
    </row>
    <row r="84" spans="1:9" ht="18" customHeight="1">
      <c r="A84" s="14"/>
      <c r="B84" s="110"/>
      <c r="C84" s="15"/>
      <c r="D84" s="111"/>
      <c r="E84" s="112"/>
      <c r="F84" s="105"/>
      <c r="G84" s="111"/>
      <c r="H84" s="103"/>
      <c r="I84" s="14"/>
    </row>
    <row r="85" spans="1:9" ht="18" customHeight="1">
      <c r="A85" s="47"/>
      <c r="B85" s="107"/>
      <c r="C85" s="88"/>
      <c r="D85" s="108"/>
      <c r="E85" s="109"/>
      <c r="F85" s="100"/>
      <c r="G85" s="108"/>
      <c r="H85" s="98"/>
      <c r="I85" s="47"/>
    </row>
    <row r="86" spans="1:9" ht="18" customHeight="1">
      <c r="A86" s="14"/>
      <c r="B86" s="110"/>
      <c r="C86" s="15"/>
      <c r="D86" s="111"/>
      <c r="E86" s="112"/>
      <c r="F86" s="105"/>
      <c r="G86" s="111"/>
      <c r="H86" s="103"/>
      <c r="I86" s="14"/>
    </row>
    <row r="87" spans="1:9" ht="18" customHeight="1">
      <c r="A87" s="47"/>
      <c r="B87" s="107"/>
      <c r="C87" s="88"/>
      <c r="D87" s="108"/>
      <c r="E87" s="109"/>
      <c r="F87" s="100"/>
      <c r="G87" s="108"/>
      <c r="H87" s="98"/>
      <c r="I87" s="47"/>
    </row>
    <row r="88" spans="1:9" ht="18" customHeight="1">
      <c r="A88" s="14"/>
      <c r="B88" s="110"/>
      <c r="C88" s="15"/>
      <c r="D88" s="111"/>
      <c r="E88" s="112"/>
      <c r="F88" s="105"/>
      <c r="G88" s="111"/>
      <c r="H88" s="103"/>
      <c r="I88" s="14"/>
    </row>
    <row r="89" spans="1:9" ht="18" customHeight="1">
      <c r="A89" s="47"/>
      <c r="B89" s="107"/>
      <c r="C89" s="88"/>
      <c r="D89" s="108"/>
      <c r="E89" s="109"/>
      <c r="F89" s="100"/>
      <c r="G89" s="108"/>
      <c r="H89" s="98"/>
      <c r="I89" s="47"/>
    </row>
    <row r="90" spans="1:9" ht="18" customHeight="1">
      <c r="A90" s="14"/>
      <c r="B90" s="110"/>
      <c r="C90" s="15"/>
      <c r="D90" s="111"/>
      <c r="E90" s="112"/>
      <c r="F90" s="105"/>
      <c r="G90" s="111"/>
      <c r="H90" s="103"/>
      <c r="I90" s="14"/>
    </row>
    <row r="91" spans="1:9" ht="18" customHeight="1">
      <c r="A91" s="47"/>
      <c r="B91" s="107"/>
      <c r="C91" s="88"/>
      <c r="D91" s="108"/>
      <c r="E91" s="109"/>
      <c r="F91" s="100"/>
      <c r="G91" s="108"/>
      <c r="H91" s="98"/>
      <c r="I91" s="47"/>
    </row>
    <row r="92" spans="1:9" ht="18" customHeight="1">
      <c r="A92" s="14"/>
      <c r="B92" s="110"/>
      <c r="C92" s="15"/>
      <c r="D92" s="111"/>
      <c r="E92" s="112"/>
      <c r="F92" s="105"/>
      <c r="G92" s="111"/>
      <c r="H92" s="103"/>
      <c r="I92" s="14"/>
    </row>
    <row r="93" spans="1:9" ht="18" customHeight="1">
      <c r="A93" s="47"/>
      <c r="B93" s="107"/>
      <c r="C93" s="88"/>
      <c r="D93" s="108"/>
      <c r="E93" s="109"/>
      <c r="F93" s="100"/>
      <c r="G93" s="108"/>
      <c r="H93" s="98"/>
      <c r="I93" s="47"/>
    </row>
    <row r="94" spans="1:9" ht="18" customHeight="1">
      <c r="A94" s="14"/>
      <c r="B94" s="110"/>
      <c r="C94" s="15"/>
      <c r="D94" s="111"/>
      <c r="E94" s="112"/>
      <c r="F94" s="105"/>
      <c r="G94" s="111"/>
      <c r="H94" s="103"/>
      <c r="I94" s="14"/>
    </row>
    <row r="95" spans="1:9" ht="18" customHeight="1">
      <c r="A95" s="47"/>
      <c r="B95" s="107"/>
      <c r="C95" s="88"/>
      <c r="D95" s="108"/>
      <c r="E95" s="109"/>
      <c r="F95" s="100"/>
      <c r="G95" s="108"/>
      <c r="H95" s="98"/>
      <c r="I95" s="47"/>
    </row>
    <row r="96" spans="1:9" ht="18" customHeight="1">
      <c r="A96" s="14"/>
      <c r="B96" s="110"/>
      <c r="C96" s="15"/>
      <c r="D96" s="111"/>
      <c r="E96" s="112"/>
      <c r="F96" s="105"/>
      <c r="G96" s="111"/>
      <c r="H96" s="103"/>
      <c r="I96" s="14"/>
    </row>
    <row r="97" spans="1:9" ht="18" customHeight="1">
      <c r="A97" s="47"/>
      <c r="B97" s="107"/>
      <c r="C97" s="88"/>
      <c r="D97" s="108"/>
      <c r="E97" s="109"/>
      <c r="F97" s="100"/>
      <c r="G97" s="108"/>
      <c r="H97" s="98"/>
      <c r="I97" s="47"/>
    </row>
    <row r="98" spans="1:9" ht="18" customHeight="1">
      <c r="A98" s="14"/>
      <c r="B98" s="110"/>
      <c r="C98" s="15"/>
      <c r="D98" s="111"/>
      <c r="E98" s="112"/>
      <c r="F98" s="105"/>
      <c r="G98" s="111"/>
      <c r="H98" s="103"/>
      <c r="I98" s="14"/>
    </row>
    <row r="99" spans="1:9" ht="18" customHeight="1">
      <c r="A99" s="47"/>
      <c r="B99" s="107"/>
      <c r="C99" s="88"/>
      <c r="D99" s="108"/>
      <c r="E99" s="109"/>
      <c r="F99" s="100"/>
      <c r="G99" s="108"/>
      <c r="H99" s="98"/>
      <c r="I99" s="47"/>
    </row>
    <row r="100" spans="1:9" ht="18" customHeight="1">
      <c r="A100" s="14"/>
      <c r="B100" s="110"/>
      <c r="C100" s="15"/>
      <c r="D100" s="111"/>
      <c r="E100" s="112"/>
      <c r="F100" s="105"/>
      <c r="G100" s="111"/>
      <c r="H100" s="103"/>
      <c r="I100" s="14"/>
    </row>
    <row r="101" spans="1:9" ht="18" customHeight="1">
      <c r="A101" s="47"/>
      <c r="B101" s="107"/>
      <c r="C101" s="88"/>
      <c r="D101" s="108"/>
      <c r="E101" s="109"/>
      <c r="F101" s="100"/>
      <c r="G101" s="108"/>
      <c r="H101" s="98"/>
      <c r="I101" s="47"/>
    </row>
    <row r="102" spans="1:9" ht="18" customHeight="1">
      <c r="A102" s="14"/>
      <c r="B102" s="110"/>
      <c r="C102" s="15"/>
      <c r="D102" s="111"/>
      <c r="E102" s="112"/>
      <c r="F102" s="105"/>
      <c r="G102" s="111"/>
      <c r="H102" s="103"/>
      <c r="I102" s="14"/>
    </row>
    <row r="103" spans="1:9" ht="18" customHeight="1">
      <c r="A103" s="47"/>
      <c r="B103" s="107"/>
      <c r="C103" s="88"/>
      <c r="D103" s="108"/>
      <c r="E103" s="109"/>
      <c r="F103" s="100"/>
      <c r="G103" s="108"/>
      <c r="H103" s="98"/>
      <c r="I103" s="47"/>
    </row>
    <row r="104" spans="1:9" ht="18" customHeight="1">
      <c r="A104" s="14"/>
      <c r="B104" s="110"/>
      <c r="C104" s="15"/>
      <c r="D104" s="111"/>
      <c r="E104" s="112"/>
      <c r="F104" s="105"/>
      <c r="G104" s="111"/>
      <c r="H104" s="103"/>
      <c r="I104" s="14"/>
    </row>
    <row r="105" spans="1:9" ht="18" customHeight="1">
      <c r="A105" s="47"/>
      <c r="B105" s="107"/>
      <c r="C105" s="88"/>
      <c r="D105" s="108"/>
      <c r="E105" s="109"/>
      <c r="F105" s="100"/>
      <c r="G105" s="108"/>
      <c r="H105" s="98"/>
      <c r="I105" s="47"/>
    </row>
    <row r="106" spans="1:9" ht="18" customHeight="1">
      <c r="A106" s="14"/>
      <c r="B106" s="110"/>
      <c r="C106" s="15"/>
      <c r="D106" s="111"/>
      <c r="E106" s="112"/>
      <c r="F106" s="105"/>
      <c r="G106" s="111"/>
      <c r="H106" s="103"/>
      <c r="I106" s="14"/>
    </row>
    <row r="107" spans="1:9" ht="18" customHeight="1">
      <c r="A107" s="47"/>
      <c r="B107" s="107"/>
      <c r="C107" s="88"/>
      <c r="D107" s="108"/>
      <c r="E107" s="109"/>
      <c r="F107" s="100"/>
      <c r="G107" s="108"/>
      <c r="H107" s="98"/>
      <c r="I107" s="47"/>
    </row>
    <row r="108" spans="1:9" ht="18" customHeight="1">
      <c r="A108" s="14"/>
      <c r="B108" s="110"/>
      <c r="C108" s="15"/>
      <c r="D108" s="111"/>
      <c r="E108" s="112"/>
      <c r="F108" s="105"/>
      <c r="G108" s="111"/>
      <c r="H108" s="103"/>
      <c r="I108" s="14"/>
    </row>
    <row r="109" spans="1:9" ht="18" customHeight="1">
      <c r="A109" s="47"/>
      <c r="B109" s="107"/>
      <c r="C109" s="88"/>
      <c r="D109" s="108"/>
      <c r="E109" s="109"/>
      <c r="F109" s="100"/>
      <c r="G109" s="108"/>
      <c r="H109" s="98"/>
      <c r="I109" s="47"/>
    </row>
    <row r="110" spans="1:9" ht="18" customHeight="1">
      <c r="A110" s="14"/>
      <c r="B110" s="110"/>
      <c r="C110" s="15"/>
      <c r="D110" s="111"/>
      <c r="E110" s="112"/>
      <c r="F110" s="105"/>
      <c r="G110" s="111"/>
      <c r="H110" s="103"/>
      <c r="I110" s="14"/>
    </row>
    <row r="111" spans="1:9" ht="18" customHeight="1">
      <c r="A111" s="47"/>
      <c r="B111" s="107"/>
      <c r="C111" s="88"/>
      <c r="D111" s="108"/>
      <c r="E111" s="109"/>
      <c r="F111" s="100"/>
      <c r="G111" s="108"/>
      <c r="H111" s="98"/>
      <c r="I111" s="47"/>
    </row>
    <row r="112" spans="1:9" ht="18" customHeight="1">
      <c r="A112" s="14"/>
      <c r="B112" s="110"/>
      <c r="C112" s="15"/>
      <c r="D112" s="111"/>
      <c r="E112" s="112"/>
      <c r="F112" s="105"/>
      <c r="G112" s="111"/>
      <c r="H112" s="103"/>
      <c r="I112" s="14"/>
    </row>
    <row r="113" spans="1:9" ht="18" customHeight="1">
      <c r="A113" s="47"/>
      <c r="B113" s="107"/>
      <c r="C113" s="88"/>
      <c r="D113" s="108"/>
      <c r="E113" s="109"/>
      <c r="F113" s="100"/>
      <c r="G113" s="108"/>
      <c r="H113" s="98"/>
      <c r="I113" s="47"/>
    </row>
    <row r="114" spans="1:9" ht="18" customHeight="1">
      <c r="A114" s="14"/>
      <c r="B114" s="110"/>
      <c r="C114" s="15"/>
      <c r="D114" s="111"/>
      <c r="E114" s="112"/>
      <c r="F114" s="105"/>
      <c r="G114" s="111"/>
      <c r="H114" s="103"/>
      <c r="I114" s="14"/>
    </row>
    <row r="115" spans="1:9" ht="18" customHeight="1">
      <c r="A115" s="47"/>
      <c r="B115" s="107"/>
      <c r="C115" s="88"/>
      <c r="D115" s="108"/>
      <c r="E115" s="109"/>
      <c r="F115" s="100"/>
      <c r="G115" s="108"/>
      <c r="H115" s="98"/>
      <c r="I115" s="47"/>
    </row>
    <row r="116" spans="1:9" ht="18" customHeight="1">
      <c r="A116" s="14"/>
      <c r="B116" s="110"/>
      <c r="C116" s="15"/>
      <c r="D116" s="111"/>
      <c r="E116" s="112"/>
      <c r="F116" s="105"/>
      <c r="G116" s="111"/>
      <c r="H116" s="103"/>
      <c r="I116" s="14"/>
    </row>
    <row r="117" spans="1:9" ht="18" customHeight="1">
      <c r="A117" s="47"/>
      <c r="B117" s="107"/>
      <c r="C117" s="88"/>
      <c r="D117" s="108"/>
      <c r="E117" s="109"/>
      <c r="F117" s="100"/>
      <c r="G117" s="108"/>
      <c r="H117" s="98"/>
      <c r="I117" s="47"/>
    </row>
    <row r="118" spans="1:9" ht="18" customHeight="1">
      <c r="A118" s="14"/>
      <c r="B118" s="110"/>
      <c r="C118" s="15"/>
      <c r="D118" s="111"/>
      <c r="E118" s="112"/>
      <c r="F118" s="105"/>
      <c r="G118" s="111"/>
      <c r="H118" s="103"/>
      <c r="I118" s="14"/>
    </row>
    <row r="119" spans="1:9" ht="18" customHeight="1">
      <c r="A119" s="47"/>
      <c r="B119" s="107"/>
      <c r="C119" s="88"/>
      <c r="D119" s="108"/>
      <c r="E119" s="109"/>
      <c r="F119" s="100"/>
      <c r="G119" s="108"/>
      <c r="H119" s="98"/>
      <c r="I119" s="47"/>
    </row>
    <row r="120" spans="1:9" ht="18" customHeight="1">
      <c r="A120" s="14"/>
      <c r="B120" s="110"/>
      <c r="C120" s="15"/>
      <c r="D120" s="111"/>
      <c r="E120" s="112"/>
      <c r="F120" s="105"/>
      <c r="G120" s="111"/>
      <c r="H120" s="103"/>
      <c r="I120" s="14"/>
    </row>
    <row r="121" spans="1:9" ht="18" customHeight="1">
      <c r="A121" s="47"/>
      <c r="B121" s="107"/>
      <c r="C121" s="88"/>
      <c r="D121" s="108"/>
      <c r="E121" s="109"/>
      <c r="F121" s="100"/>
      <c r="G121" s="108"/>
      <c r="H121" s="98"/>
      <c r="I121" s="47"/>
    </row>
    <row r="122" spans="1:9" ht="18" customHeight="1">
      <c r="A122" s="14"/>
      <c r="B122" s="110"/>
      <c r="C122" s="15"/>
      <c r="D122" s="111"/>
      <c r="E122" s="112"/>
      <c r="F122" s="105"/>
      <c r="G122" s="111"/>
      <c r="H122" s="103"/>
      <c r="I122" s="14"/>
    </row>
    <row r="123" spans="1:9" ht="18" customHeight="1">
      <c r="A123" s="47"/>
      <c r="B123" s="107"/>
      <c r="C123" s="88"/>
      <c r="D123" s="108"/>
      <c r="E123" s="109"/>
      <c r="F123" s="100"/>
      <c r="G123" s="108"/>
      <c r="H123" s="98"/>
      <c r="I123" s="47"/>
    </row>
    <row r="124" spans="1:9" ht="18" customHeight="1">
      <c r="A124" s="14"/>
      <c r="B124" s="110"/>
      <c r="C124" s="15"/>
      <c r="D124" s="111"/>
      <c r="E124" s="112"/>
      <c r="F124" s="105"/>
      <c r="G124" s="111"/>
      <c r="H124" s="103"/>
      <c r="I124" s="14"/>
    </row>
    <row r="125" spans="1:9" ht="18" customHeight="1">
      <c r="A125" s="47"/>
      <c r="B125" s="107"/>
      <c r="C125" s="88"/>
      <c r="D125" s="108"/>
      <c r="E125" s="109"/>
      <c r="F125" s="100"/>
      <c r="G125" s="108"/>
      <c r="H125" s="98"/>
      <c r="I125" s="47"/>
    </row>
    <row r="126" spans="1:9" ht="18" customHeight="1">
      <c r="A126" s="14"/>
      <c r="B126" s="110"/>
      <c r="C126" s="15"/>
      <c r="D126" s="111"/>
      <c r="E126" s="112"/>
      <c r="F126" s="105"/>
      <c r="G126" s="111"/>
      <c r="H126" s="103"/>
      <c r="I126" s="14"/>
    </row>
    <row r="127" spans="1:9" ht="18" customHeight="1">
      <c r="A127" s="47"/>
      <c r="B127" s="107"/>
      <c r="C127" s="88"/>
      <c r="D127" s="108"/>
      <c r="E127" s="109"/>
      <c r="F127" s="100"/>
      <c r="G127" s="108"/>
      <c r="H127" s="98"/>
      <c r="I127" s="47"/>
    </row>
    <row r="128" spans="1:9" ht="18" customHeight="1">
      <c r="A128" s="14"/>
      <c r="B128" s="110"/>
      <c r="C128" s="15"/>
      <c r="D128" s="111"/>
      <c r="E128" s="112"/>
      <c r="F128" s="105"/>
      <c r="G128" s="111"/>
      <c r="H128" s="103"/>
      <c r="I128" s="14"/>
    </row>
    <row r="129" spans="1:9" ht="18" customHeight="1">
      <c r="A129" s="47"/>
      <c r="B129" s="107"/>
      <c r="C129" s="88"/>
      <c r="D129" s="108"/>
      <c r="E129" s="109"/>
      <c r="F129" s="100"/>
      <c r="G129" s="108"/>
      <c r="H129" s="98"/>
      <c r="I129" s="47"/>
    </row>
    <row r="130" spans="1:9" ht="18" customHeight="1">
      <c r="A130" s="14"/>
      <c r="B130" s="110"/>
      <c r="C130" s="15"/>
      <c r="D130" s="111"/>
      <c r="E130" s="112"/>
      <c r="F130" s="105"/>
      <c r="G130" s="111"/>
      <c r="H130" s="103"/>
      <c r="I130" s="14"/>
    </row>
    <row r="131" spans="1:9" ht="18" customHeight="1">
      <c r="A131" s="47"/>
      <c r="B131" s="107"/>
      <c r="C131" s="88"/>
      <c r="D131" s="108"/>
      <c r="E131" s="109"/>
      <c r="F131" s="100"/>
      <c r="G131" s="108"/>
      <c r="H131" s="98"/>
      <c r="I131" s="47"/>
    </row>
    <row r="132" spans="1:9" ht="18" customHeight="1">
      <c r="A132" s="14"/>
      <c r="B132" s="110"/>
      <c r="C132" s="15"/>
      <c r="D132" s="111"/>
      <c r="E132" s="112"/>
      <c r="F132" s="105"/>
      <c r="G132" s="111"/>
      <c r="H132" s="103"/>
      <c r="I132" s="14"/>
    </row>
    <row r="133" spans="1:9" ht="18" customHeight="1">
      <c r="A133" s="47"/>
      <c r="B133" s="107"/>
      <c r="C133" s="88"/>
      <c r="D133" s="108"/>
      <c r="E133" s="109"/>
      <c r="F133" s="100"/>
      <c r="G133" s="108"/>
      <c r="H133" s="98"/>
      <c r="I133" s="47"/>
    </row>
    <row r="134" spans="1:9" ht="18" customHeight="1">
      <c r="A134" s="14"/>
      <c r="B134" s="110"/>
      <c r="C134" s="15"/>
      <c r="D134" s="111"/>
      <c r="E134" s="112"/>
      <c r="F134" s="105"/>
      <c r="G134" s="111"/>
      <c r="H134" s="103"/>
      <c r="I134" s="14"/>
    </row>
    <row r="135" spans="1:9" ht="18" customHeight="1">
      <c r="A135" s="47"/>
      <c r="B135" s="107"/>
      <c r="C135" s="88"/>
      <c r="D135" s="108"/>
      <c r="E135" s="109"/>
      <c r="F135" s="100"/>
      <c r="G135" s="108"/>
      <c r="H135" s="98"/>
      <c r="I135" s="47"/>
    </row>
    <row r="136" spans="1:9" ht="18" customHeight="1">
      <c r="A136" s="14"/>
      <c r="B136" s="110"/>
      <c r="C136" s="15"/>
      <c r="D136" s="111"/>
      <c r="E136" s="112"/>
      <c r="F136" s="105"/>
      <c r="G136" s="111"/>
      <c r="H136" s="103"/>
      <c r="I136" s="14"/>
    </row>
    <row r="137" spans="1:9" ht="18" customHeight="1">
      <c r="A137" s="47"/>
      <c r="B137" s="107"/>
      <c r="C137" s="88"/>
      <c r="D137" s="108"/>
      <c r="E137" s="109"/>
      <c r="F137" s="100"/>
      <c r="G137" s="108"/>
      <c r="H137" s="98"/>
      <c r="I137" s="47"/>
    </row>
    <row r="138" spans="1:9" ht="18" customHeight="1">
      <c r="A138" s="14"/>
      <c r="B138" s="110"/>
      <c r="C138" s="15"/>
      <c r="D138" s="111"/>
      <c r="E138" s="112"/>
      <c r="F138" s="105"/>
      <c r="G138" s="111"/>
      <c r="H138" s="103"/>
      <c r="I138" s="14"/>
    </row>
    <row r="139" spans="1:9" ht="18" customHeight="1">
      <c r="A139" s="47"/>
      <c r="B139" s="107"/>
      <c r="C139" s="88"/>
      <c r="D139" s="108"/>
      <c r="E139" s="109"/>
      <c r="F139" s="100"/>
      <c r="G139" s="108"/>
      <c r="H139" s="98"/>
      <c r="I139" s="47"/>
    </row>
    <row r="140" spans="1:9" ht="18" customHeight="1">
      <c r="A140" s="14"/>
      <c r="B140" s="110"/>
      <c r="C140" s="15"/>
      <c r="D140" s="111"/>
      <c r="E140" s="112"/>
      <c r="F140" s="105"/>
      <c r="G140" s="111"/>
      <c r="H140" s="103"/>
      <c r="I140" s="14"/>
    </row>
    <row r="141" spans="1:9" ht="18" customHeight="1">
      <c r="A141" s="47"/>
      <c r="B141" s="107"/>
      <c r="C141" s="88"/>
      <c r="D141" s="108"/>
      <c r="E141" s="109"/>
      <c r="F141" s="100"/>
      <c r="G141" s="108"/>
      <c r="H141" s="98"/>
      <c r="I141" s="47"/>
    </row>
    <row r="142" spans="1:9" ht="18" customHeight="1">
      <c r="A142" s="14"/>
      <c r="B142" s="110"/>
      <c r="C142" s="15"/>
      <c r="D142" s="111"/>
      <c r="E142" s="112"/>
      <c r="F142" s="105"/>
      <c r="G142" s="111"/>
      <c r="H142" s="103"/>
      <c r="I142" s="14"/>
    </row>
    <row r="143" spans="1:9" ht="18" customHeight="1">
      <c r="A143" s="47"/>
      <c r="B143" s="107"/>
      <c r="C143" s="88"/>
      <c r="D143" s="108"/>
      <c r="E143" s="109"/>
      <c r="F143" s="100"/>
      <c r="G143" s="108"/>
      <c r="H143" s="98"/>
      <c r="I143" s="47"/>
    </row>
    <row r="144" spans="1:9" ht="18" customHeight="1">
      <c r="A144" s="14"/>
      <c r="B144" s="110"/>
      <c r="C144" s="15"/>
      <c r="D144" s="111"/>
      <c r="E144" s="112"/>
      <c r="F144" s="105"/>
      <c r="G144" s="111"/>
      <c r="H144" s="103"/>
      <c r="I144" s="14"/>
    </row>
    <row r="145" spans="1:9" ht="18" customHeight="1">
      <c r="A145" s="47"/>
      <c r="B145" s="107"/>
      <c r="C145" s="88"/>
      <c r="D145" s="108"/>
      <c r="E145" s="109"/>
      <c r="F145" s="100"/>
      <c r="G145" s="108"/>
      <c r="H145" s="98"/>
      <c r="I145" s="47"/>
    </row>
    <row r="146" spans="1:9" ht="18" customHeight="1">
      <c r="A146" s="14"/>
      <c r="B146" s="110"/>
      <c r="C146" s="15"/>
      <c r="D146" s="111"/>
      <c r="E146" s="112"/>
      <c r="F146" s="105"/>
      <c r="G146" s="111"/>
      <c r="H146" s="103"/>
      <c r="I146" s="14"/>
    </row>
    <row r="147" spans="1:9" ht="18" customHeight="1">
      <c r="A147" s="47"/>
      <c r="B147" s="107"/>
      <c r="C147" s="88"/>
      <c r="D147" s="108"/>
      <c r="E147" s="109"/>
      <c r="F147" s="100"/>
      <c r="G147" s="108"/>
      <c r="H147" s="98"/>
      <c r="I147" s="47"/>
    </row>
    <row r="148" spans="1:9" ht="18" customHeight="1">
      <c r="A148" s="14"/>
      <c r="B148" s="110"/>
      <c r="C148" s="15"/>
      <c r="D148" s="111"/>
      <c r="E148" s="112"/>
      <c r="F148" s="105"/>
      <c r="G148" s="111"/>
      <c r="H148" s="103"/>
      <c r="I148" s="14"/>
    </row>
    <row r="149" spans="1:9" ht="18" customHeight="1">
      <c r="A149" s="47"/>
      <c r="B149" s="107"/>
      <c r="C149" s="88"/>
      <c r="D149" s="108"/>
      <c r="E149" s="109"/>
      <c r="F149" s="100"/>
      <c r="G149" s="108"/>
      <c r="H149" s="98"/>
      <c r="I149" s="47"/>
    </row>
    <row r="150" spans="1:9" ht="18" customHeight="1">
      <c r="A150" s="14"/>
      <c r="B150" s="110"/>
      <c r="C150" s="15"/>
      <c r="D150" s="111"/>
      <c r="E150" s="112"/>
      <c r="F150" s="105"/>
      <c r="G150" s="111"/>
      <c r="H150" s="103"/>
      <c r="I150" s="14"/>
    </row>
    <row r="151" spans="1:9" ht="18" customHeight="1">
      <c r="A151" s="47"/>
      <c r="B151" s="107"/>
      <c r="C151" s="88"/>
      <c r="D151" s="108"/>
      <c r="E151" s="109"/>
      <c r="F151" s="100"/>
      <c r="G151" s="108"/>
      <c r="H151" s="98"/>
      <c r="I151" s="47"/>
    </row>
    <row r="152" spans="1:9" ht="18" customHeight="1">
      <c r="A152" s="14"/>
      <c r="B152" s="110"/>
      <c r="C152" s="15"/>
      <c r="D152" s="111"/>
      <c r="E152" s="112"/>
      <c r="F152" s="105"/>
      <c r="G152" s="111"/>
      <c r="H152" s="103"/>
      <c r="I152" s="14"/>
    </row>
    <row r="153" spans="1:9" ht="18" customHeight="1">
      <c r="A153" s="47"/>
      <c r="B153" s="107"/>
      <c r="C153" s="88"/>
      <c r="D153" s="108"/>
      <c r="E153" s="109"/>
      <c r="F153" s="100"/>
      <c r="G153" s="108"/>
      <c r="H153" s="98"/>
      <c r="I153" s="47"/>
    </row>
    <row r="154" spans="1:9" ht="18" customHeight="1">
      <c r="A154" s="14"/>
      <c r="B154" s="110"/>
      <c r="C154" s="15"/>
      <c r="D154" s="111"/>
      <c r="E154" s="112"/>
      <c r="F154" s="105"/>
      <c r="G154" s="111"/>
      <c r="H154" s="103"/>
      <c r="I154" s="14"/>
    </row>
    <row r="155" spans="1:9" ht="18" customHeight="1">
      <c r="A155" s="47"/>
      <c r="B155" s="107"/>
      <c r="C155" s="88"/>
      <c r="D155" s="108"/>
      <c r="E155" s="109"/>
      <c r="F155" s="100"/>
      <c r="G155" s="108"/>
      <c r="H155" s="98"/>
      <c r="I155" s="47"/>
    </row>
    <row r="156" spans="1:9" ht="18" customHeight="1">
      <c r="A156" s="14"/>
      <c r="B156" s="110"/>
      <c r="C156" s="15"/>
      <c r="D156" s="111"/>
      <c r="E156" s="112"/>
      <c r="F156" s="105"/>
      <c r="G156" s="111"/>
      <c r="H156" s="103"/>
      <c r="I156" s="14"/>
    </row>
    <row r="157" spans="1:9" ht="18" customHeight="1">
      <c r="A157" s="47"/>
      <c r="B157" s="107"/>
      <c r="C157" s="88"/>
      <c r="D157" s="108"/>
      <c r="E157" s="109"/>
      <c r="F157" s="100"/>
      <c r="G157" s="108"/>
      <c r="H157" s="98"/>
      <c r="I157" s="47"/>
    </row>
    <row r="158" spans="1:9" ht="18" customHeight="1">
      <c r="A158" s="14"/>
      <c r="B158" s="110"/>
      <c r="C158" s="15"/>
      <c r="D158" s="111"/>
      <c r="E158" s="112"/>
      <c r="F158" s="105"/>
      <c r="G158" s="111"/>
      <c r="H158" s="103"/>
      <c r="I158" s="14"/>
    </row>
    <row r="159" spans="1:9" ht="18" customHeight="1">
      <c r="A159" s="47"/>
      <c r="B159" s="107"/>
      <c r="C159" s="88"/>
      <c r="D159" s="108"/>
      <c r="E159" s="109"/>
      <c r="F159" s="100"/>
      <c r="G159" s="108"/>
      <c r="H159" s="98"/>
      <c r="I159" s="47"/>
    </row>
    <row r="160" spans="1:9" ht="18" customHeight="1">
      <c r="A160" s="14"/>
      <c r="B160" s="110"/>
      <c r="C160" s="15"/>
      <c r="D160" s="111"/>
      <c r="E160" s="112"/>
      <c r="F160" s="105"/>
      <c r="G160" s="111"/>
      <c r="H160" s="103"/>
      <c r="I160" s="14"/>
    </row>
    <row r="161" spans="1:9" ht="18" customHeight="1">
      <c r="A161" s="47"/>
      <c r="B161" s="107"/>
      <c r="C161" s="88"/>
      <c r="D161" s="108"/>
      <c r="E161" s="109"/>
      <c r="F161" s="100"/>
      <c r="G161" s="108"/>
      <c r="H161" s="98"/>
      <c r="I161" s="47"/>
    </row>
    <row r="162" spans="1:9" ht="18" customHeight="1">
      <c r="A162" s="14"/>
      <c r="B162" s="110"/>
      <c r="C162" s="15"/>
      <c r="D162" s="111"/>
      <c r="E162" s="112"/>
      <c r="F162" s="105"/>
      <c r="G162" s="111"/>
      <c r="H162" s="103"/>
      <c r="I162" s="14"/>
    </row>
    <row r="163" spans="1:9" ht="18" customHeight="1">
      <c r="A163" s="47"/>
      <c r="B163" s="107"/>
      <c r="C163" s="88"/>
      <c r="D163" s="108"/>
      <c r="E163" s="109"/>
      <c r="F163" s="100"/>
      <c r="G163" s="108"/>
      <c r="H163" s="98"/>
      <c r="I163" s="47"/>
    </row>
    <row r="164" spans="1:9" ht="18" customHeight="1">
      <c r="A164" s="14"/>
      <c r="B164" s="110"/>
      <c r="C164" s="15"/>
      <c r="D164" s="111"/>
      <c r="E164" s="112"/>
      <c r="F164" s="105"/>
      <c r="G164" s="111"/>
      <c r="H164" s="103"/>
      <c r="I164" s="14"/>
    </row>
    <row r="165" spans="1:9" ht="18" customHeight="1">
      <c r="A165" s="47"/>
      <c r="B165" s="107"/>
      <c r="C165" s="88"/>
      <c r="D165" s="108"/>
      <c r="E165" s="109"/>
      <c r="F165" s="100"/>
      <c r="G165" s="108"/>
      <c r="H165" s="98"/>
      <c r="I165" s="47"/>
    </row>
    <row r="166" spans="1:9" ht="18" customHeight="1">
      <c r="A166" s="14"/>
      <c r="B166" s="110"/>
      <c r="C166" s="15"/>
      <c r="D166" s="111"/>
      <c r="E166" s="112"/>
      <c r="F166" s="105"/>
      <c r="G166" s="111"/>
      <c r="H166" s="103"/>
      <c r="I166" s="14"/>
    </row>
    <row r="167" spans="1:9" ht="18" customHeight="1">
      <c r="A167" s="47"/>
      <c r="B167" s="107"/>
      <c r="C167" s="88"/>
      <c r="D167" s="108"/>
      <c r="E167" s="109"/>
      <c r="F167" s="100"/>
      <c r="G167" s="108"/>
      <c r="H167" s="98"/>
      <c r="I167" s="47"/>
    </row>
    <row r="168" spans="1:9" ht="18" customHeight="1">
      <c r="A168" s="14"/>
      <c r="B168" s="110"/>
      <c r="C168" s="15"/>
      <c r="D168" s="111"/>
      <c r="E168" s="112"/>
      <c r="F168" s="105"/>
      <c r="G168" s="111"/>
      <c r="H168" s="103"/>
      <c r="I168" s="14"/>
    </row>
    <row r="169" spans="1:9" ht="18" customHeight="1">
      <c r="A169" s="47"/>
      <c r="B169" s="107"/>
      <c r="C169" s="88"/>
      <c r="D169" s="108"/>
      <c r="E169" s="109"/>
      <c r="F169" s="100"/>
      <c r="G169" s="108"/>
      <c r="H169" s="98"/>
      <c r="I169" s="47"/>
    </row>
    <row r="170" spans="1:9" ht="18" customHeight="1">
      <c r="A170" s="14"/>
      <c r="B170" s="110"/>
      <c r="C170" s="15"/>
      <c r="D170" s="111"/>
      <c r="E170" s="112"/>
      <c r="F170" s="105"/>
      <c r="G170" s="111"/>
      <c r="H170" s="103"/>
      <c r="I170" s="14"/>
    </row>
    <row r="171" spans="1:9" ht="18" customHeight="1">
      <c r="A171" s="47"/>
      <c r="B171" s="107"/>
      <c r="C171" s="88"/>
      <c r="D171" s="108"/>
      <c r="E171" s="109"/>
      <c r="F171" s="100"/>
      <c r="G171" s="108"/>
      <c r="H171" s="98"/>
      <c r="I171" s="47"/>
    </row>
    <row r="172" spans="1:9" ht="18" customHeight="1">
      <c r="A172" s="14"/>
      <c r="B172" s="110"/>
      <c r="C172" s="15"/>
      <c r="D172" s="111"/>
      <c r="E172" s="112"/>
      <c r="F172" s="105"/>
      <c r="G172" s="111"/>
      <c r="H172" s="103"/>
      <c r="I172" s="14"/>
    </row>
    <row r="173" spans="1:9" ht="18" customHeight="1">
      <c r="A173" s="47"/>
      <c r="B173" s="107"/>
      <c r="C173" s="88"/>
      <c r="D173" s="108"/>
      <c r="E173" s="109"/>
      <c r="F173" s="100"/>
      <c r="G173" s="108"/>
      <c r="H173" s="98"/>
      <c r="I173" s="47"/>
    </row>
    <row r="174" spans="1:9" ht="18" customHeight="1">
      <c r="A174" s="14"/>
      <c r="B174" s="110"/>
      <c r="C174" s="15"/>
      <c r="D174" s="111"/>
      <c r="E174" s="112"/>
      <c r="F174" s="105"/>
      <c r="G174" s="111"/>
      <c r="H174" s="103"/>
      <c r="I174" s="14"/>
    </row>
    <row r="175" spans="1:9" ht="18" customHeight="1">
      <c r="A175" s="47"/>
      <c r="B175" s="107"/>
      <c r="C175" s="88"/>
      <c r="D175" s="108"/>
      <c r="E175" s="109"/>
      <c r="F175" s="100"/>
      <c r="G175" s="108"/>
      <c r="H175" s="98"/>
      <c r="I175" s="47"/>
    </row>
    <row r="176" spans="1:9" ht="18" customHeight="1">
      <c r="A176" s="14"/>
      <c r="B176" s="110"/>
      <c r="C176" s="15"/>
      <c r="D176" s="111"/>
      <c r="E176" s="112"/>
      <c r="F176" s="105"/>
      <c r="G176" s="111"/>
      <c r="H176" s="103"/>
      <c r="I176" s="14"/>
    </row>
    <row r="177" spans="1:9" ht="18" customHeight="1">
      <c r="A177" s="47"/>
      <c r="B177" s="107"/>
      <c r="C177" s="88"/>
      <c r="D177" s="108"/>
      <c r="E177" s="109"/>
      <c r="F177" s="100"/>
      <c r="G177" s="108"/>
      <c r="H177" s="98"/>
      <c r="I177" s="47"/>
    </row>
    <row r="178" spans="1:9" ht="18" customHeight="1">
      <c r="A178" s="14"/>
      <c r="B178" s="110"/>
      <c r="C178" s="15"/>
      <c r="D178" s="111"/>
      <c r="E178" s="112"/>
      <c r="F178" s="105"/>
      <c r="G178" s="111"/>
      <c r="H178" s="103"/>
      <c r="I178" s="14"/>
    </row>
    <row r="179" spans="1:9" ht="18" customHeight="1">
      <c r="A179" s="47"/>
      <c r="B179" s="107"/>
      <c r="C179" s="88"/>
      <c r="D179" s="108"/>
      <c r="E179" s="109"/>
      <c r="F179" s="100"/>
      <c r="G179" s="108"/>
      <c r="H179" s="98"/>
      <c r="I179" s="47"/>
    </row>
    <row r="180" spans="1:9" ht="18" customHeight="1">
      <c r="A180" s="14"/>
      <c r="B180" s="110"/>
      <c r="C180" s="15"/>
      <c r="D180" s="111"/>
      <c r="E180" s="112"/>
      <c r="F180" s="105"/>
      <c r="G180" s="111"/>
      <c r="H180" s="103"/>
      <c r="I180" s="14"/>
    </row>
    <row r="181" spans="1:9" ht="18" customHeight="1">
      <c r="A181" s="47"/>
      <c r="B181" s="107"/>
      <c r="C181" s="88"/>
      <c r="D181" s="108"/>
      <c r="E181" s="109"/>
      <c r="F181" s="100"/>
      <c r="G181" s="108"/>
      <c r="H181" s="98"/>
      <c r="I181" s="47"/>
    </row>
    <row r="182" spans="1:9" ht="18" customHeight="1">
      <c r="A182" s="14"/>
      <c r="B182" s="110"/>
      <c r="C182" s="15"/>
      <c r="D182" s="111"/>
      <c r="E182" s="112"/>
      <c r="F182" s="105"/>
      <c r="G182" s="111"/>
      <c r="H182" s="103"/>
      <c r="I182" s="14"/>
    </row>
    <row r="183" spans="1:9" ht="18" customHeight="1">
      <c r="A183" s="47"/>
      <c r="B183" s="107"/>
      <c r="C183" s="88"/>
      <c r="D183" s="108"/>
      <c r="E183" s="109"/>
      <c r="F183" s="100"/>
      <c r="G183" s="108"/>
      <c r="H183" s="98"/>
      <c r="I183" s="47"/>
    </row>
    <row r="184" spans="1:9" ht="18" customHeight="1">
      <c r="A184" s="14"/>
      <c r="B184" s="110"/>
      <c r="C184" s="15"/>
      <c r="D184" s="111"/>
      <c r="E184" s="112"/>
      <c r="F184" s="105"/>
      <c r="G184" s="111"/>
      <c r="H184" s="103"/>
      <c r="I184" s="14"/>
    </row>
    <row r="185" spans="1:9" ht="18" customHeight="1">
      <c r="A185" s="47"/>
      <c r="B185" s="107"/>
      <c r="C185" s="88"/>
      <c r="D185" s="108"/>
      <c r="E185" s="109"/>
      <c r="F185" s="100"/>
      <c r="G185" s="108"/>
      <c r="H185" s="98"/>
      <c r="I185" s="47"/>
    </row>
    <row r="186" spans="1:9" ht="18" customHeight="1">
      <c r="A186" s="14"/>
      <c r="B186" s="110"/>
      <c r="C186" s="15"/>
      <c r="D186" s="111"/>
      <c r="E186" s="112"/>
      <c r="F186" s="105"/>
      <c r="G186" s="111"/>
      <c r="H186" s="103"/>
      <c r="I186" s="14"/>
    </row>
    <row r="187" spans="1:9" ht="18" customHeight="1">
      <c r="A187" s="47"/>
      <c r="B187" s="107"/>
      <c r="C187" s="88"/>
      <c r="D187" s="108"/>
      <c r="E187" s="109"/>
      <c r="F187" s="100"/>
      <c r="G187" s="108"/>
      <c r="H187" s="98"/>
      <c r="I187" s="47"/>
    </row>
    <row r="188" spans="1:9" ht="18" customHeight="1">
      <c r="A188" s="14"/>
      <c r="B188" s="110"/>
      <c r="C188" s="15"/>
      <c r="D188" s="111"/>
      <c r="E188" s="112"/>
      <c r="F188" s="105"/>
      <c r="G188" s="111"/>
      <c r="H188" s="103"/>
      <c r="I188" s="14"/>
    </row>
    <row r="189" spans="1:9" ht="18" customHeight="1">
      <c r="A189" s="47"/>
      <c r="B189" s="107"/>
      <c r="C189" s="88"/>
      <c r="D189" s="108"/>
      <c r="E189" s="109"/>
      <c r="F189" s="100"/>
      <c r="G189" s="108"/>
      <c r="H189" s="98"/>
      <c r="I189" s="47"/>
    </row>
    <row r="190" spans="1:9" ht="18" customHeight="1">
      <c r="A190" s="14"/>
      <c r="B190" s="110"/>
      <c r="C190" s="15"/>
      <c r="D190" s="111"/>
      <c r="E190" s="112"/>
      <c r="F190" s="105"/>
      <c r="G190" s="111"/>
      <c r="H190" s="103"/>
      <c r="I190" s="14"/>
    </row>
    <row r="191" spans="1:9" ht="18" customHeight="1">
      <c r="A191" s="47"/>
      <c r="B191" s="107"/>
      <c r="C191" s="88"/>
      <c r="D191" s="108"/>
      <c r="E191" s="109"/>
      <c r="F191" s="100"/>
      <c r="G191" s="108"/>
      <c r="H191" s="98"/>
      <c r="I191" s="47"/>
    </row>
    <row r="192" spans="1:9" ht="18" customHeight="1">
      <c r="A192" s="14"/>
      <c r="B192" s="110"/>
      <c r="C192" s="15"/>
      <c r="D192" s="111"/>
      <c r="E192" s="112"/>
      <c r="F192" s="105"/>
      <c r="G192" s="111"/>
      <c r="H192" s="103"/>
      <c r="I192" s="14"/>
    </row>
    <row r="193" spans="1:9" ht="18" customHeight="1">
      <c r="A193" s="47"/>
      <c r="B193" s="107"/>
      <c r="C193" s="88"/>
      <c r="D193" s="108"/>
      <c r="E193" s="109"/>
      <c r="F193" s="100"/>
      <c r="G193" s="108"/>
      <c r="H193" s="98"/>
      <c r="I193" s="47"/>
    </row>
    <row r="194" spans="1:9" ht="18" customHeight="1">
      <c r="A194" s="14"/>
      <c r="B194" s="110"/>
      <c r="C194" s="15"/>
      <c r="D194" s="111"/>
      <c r="E194" s="112"/>
      <c r="F194" s="105"/>
      <c r="G194" s="111"/>
      <c r="H194" s="103"/>
      <c r="I194" s="14"/>
    </row>
    <row r="195" spans="1:9" ht="18" customHeight="1">
      <c r="A195" s="47"/>
      <c r="B195" s="107"/>
      <c r="C195" s="88"/>
      <c r="D195" s="108"/>
      <c r="E195" s="109"/>
      <c r="F195" s="100"/>
      <c r="G195" s="108"/>
      <c r="H195" s="98"/>
      <c r="I195" s="47"/>
    </row>
    <row r="196" spans="1:9" ht="18" customHeight="1">
      <c r="A196" s="14"/>
      <c r="B196" s="110"/>
      <c r="C196" s="15"/>
      <c r="D196" s="111"/>
      <c r="E196" s="112"/>
      <c r="F196" s="105"/>
      <c r="G196" s="111"/>
      <c r="H196" s="103"/>
      <c r="I196" s="14"/>
    </row>
    <row r="197" spans="1:9" ht="18" customHeight="1">
      <c r="A197" s="47"/>
      <c r="B197" s="107"/>
      <c r="C197" s="88"/>
      <c r="D197" s="108"/>
      <c r="E197" s="109"/>
      <c r="F197" s="100"/>
      <c r="G197" s="108"/>
      <c r="H197" s="98"/>
      <c r="I197" s="47"/>
    </row>
    <row r="198" spans="1:9" ht="18" customHeight="1">
      <c r="A198" s="14"/>
      <c r="B198" s="110"/>
      <c r="C198" s="15"/>
      <c r="D198" s="111"/>
      <c r="E198" s="112"/>
      <c r="F198" s="105"/>
      <c r="G198" s="111"/>
      <c r="H198" s="103"/>
      <c r="I198" s="14"/>
    </row>
    <row r="199" spans="1:9" ht="18" customHeight="1">
      <c r="A199" s="47"/>
      <c r="B199" s="107"/>
      <c r="C199" s="88"/>
      <c r="D199" s="108"/>
      <c r="E199" s="109"/>
      <c r="F199" s="100"/>
      <c r="G199" s="108"/>
      <c r="H199" s="98"/>
      <c r="I199" s="47"/>
    </row>
    <row r="200" spans="1:9" ht="18" customHeight="1">
      <c r="A200" s="14"/>
      <c r="B200" s="110"/>
      <c r="C200" s="15"/>
      <c r="D200" s="111"/>
      <c r="E200" s="112"/>
      <c r="F200" s="105"/>
      <c r="G200" s="111"/>
      <c r="H200" s="103"/>
      <c r="I200" s="14"/>
    </row>
    <row r="201" spans="1:9" ht="18" customHeight="1">
      <c r="A201" s="47"/>
      <c r="B201" s="107"/>
      <c r="C201" s="88"/>
      <c r="D201" s="108"/>
      <c r="E201" s="109"/>
      <c r="F201" s="100"/>
      <c r="G201" s="108"/>
      <c r="H201" s="98"/>
      <c r="I201" s="47"/>
    </row>
    <row r="202" spans="1:9" ht="18" customHeight="1">
      <c r="A202" s="14"/>
      <c r="B202" s="110"/>
      <c r="C202" s="15"/>
      <c r="D202" s="111"/>
      <c r="E202" s="112"/>
      <c r="F202" s="105"/>
      <c r="G202" s="111"/>
      <c r="H202" s="103"/>
      <c r="I202" s="14"/>
    </row>
    <row r="203" spans="1:9" ht="18" customHeight="1">
      <c r="A203" s="47"/>
      <c r="B203" s="107"/>
      <c r="C203" s="88"/>
      <c r="D203" s="108"/>
      <c r="E203" s="109"/>
      <c r="F203" s="100"/>
      <c r="G203" s="108"/>
      <c r="H203" s="98"/>
      <c r="I203" s="47"/>
    </row>
    <row r="204" spans="1:9" ht="18" customHeight="1">
      <c r="A204" s="14"/>
      <c r="B204" s="110"/>
      <c r="C204" s="15"/>
      <c r="D204" s="111"/>
      <c r="E204" s="112"/>
      <c r="F204" s="105"/>
      <c r="G204" s="111"/>
      <c r="H204" s="103"/>
      <c r="I204" s="14"/>
    </row>
    <row r="205" spans="1:9" ht="18" customHeight="1">
      <c r="A205" s="47"/>
      <c r="B205" s="107"/>
      <c r="C205" s="88"/>
      <c r="D205" s="108"/>
      <c r="E205" s="109"/>
      <c r="F205" s="100"/>
      <c r="G205" s="108"/>
      <c r="H205" s="98"/>
      <c r="I205" s="47"/>
    </row>
    <row r="206" spans="1:9" ht="18" customHeight="1">
      <c r="A206" s="14"/>
      <c r="B206" s="110"/>
      <c r="C206" s="15"/>
      <c r="D206" s="111"/>
      <c r="E206" s="112"/>
      <c r="F206" s="105"/>
      <c r="G206" s="111"/>
      <c r="H206" s="103"/>
      <c r="I206" s="14"/>
    </row>
    <row r="207" spans="1:9" ht="18" customHeight="1">
      <c r="A207" s="47"/>
      <c r="B207" s="107"/>
      <c r="C207" s="88"/>
      <c r="D207" s="108"/>
      <c r="E207" s="109"/>
      <c r="F207" s="100"/>
      <c r="G207" s="108"/>
      <c r="H207" s="98"/>
      <c r="I207" s="47"/>
    </row>
    <row r="208" spans="1:9" ht="18" customHeight="1">
      <c r="A208" s="14"/>
      <c r="B208" s="110"/>
      <c r="C208" s="15"/>
      <c r="D208" s="111"/>
      <c r="E208" s="112"/>
      <c r="F208" s="105"/>
      <c r="G208" s="111"/>
      <c r="H208" s="103"/>
      <c r="I208" s="14"/>
    </row>
    <row r="209" spans="1:9" ht="18" customHeight="1">
      <c r="A209" s="47"/>
      <c r="B209" s="107"/>
      <c r="C209" s="88"/>
      <c r="D209" s="108"/>
      <c r="E209" s="109"/>
      <c r="F209" s="100"/>
      <c r="G209" s="108"/>
      <c r="H209" s="98"/>
      <c r="I209" s="47"/>
    </row>
    <row r="210" spans="1:9" ht="18" customHeight="1">
      <c r="A210" s="14"/>
      <c r="B210" s="110"/>
      <c r="C210" s="15"/>
      <c r="D210" s="111"/>
      <c r="E210" s="112"/>
      <c r="F210" s="105"/>
      <c r="G210" s="111"/>
      <c r="H210" s="103"/>
      <c r="I210" s="14"/>
    </row>
    <row r="211" spans="1:9" ht="18" customHeight="1">
      <c r="A211" s="47"/>
      <c r="B211" s="107"/>
      <c r="C211" s="88"/>
      <c r="D211" s="108"/>
      <c r="E211" s="109"/>
      <c r="F211" s="100"/>
      <c r="G211" s="108"/>
      <c r="H211" s="98"/>
      <c r="I211" s="47"/>
    </row>
    <row r="212" spans="1:9" ht="18" customHeight="1">
      <c r="A212" s="14"/>
      <c r="B212" s="110"/>
      <c r="C212" s="15"/>
      <c r="D212" s="111"/>
      <c r="E212" s="112"/>
      <c r="F212" s="105"/>
      <c r="G212" s="111"/>
      <c r="H212" s="103"/>
      <c r="I212" s="14"/>
    </row>
    <row r="213" spans="1:9" ht="18" customHeight="1">
      <c r="A213" s="47"/>
      <c r="B213" s="107"/>
      <c r="C213" s="88"/>
      <c r="D213" s="108"/>
      <c r="E213" s="109"/>
      <c r="F213" s="100"/>
      <c r="G213" s="108"/>
      <c r="H213" s="98"/>
      <c r="I213" s="47"/>
    </row>
    <row r="214" spans="1:9" ht="18" customHeight="1">
      <c r="A214" s="14"/>
      <c r="B214" s="110"/>
      <c r="C214" s="15"/>
      <c r="D214" s="111"/>
      <c r="E214" s="112"/>
      <c r="F214" s="105"/>
      <c r="G214" s="111"/>
      <c r="H214" s="103"/>
      <c r="I214" s="14"/>
    </row>
    <row r="215" spans="1:9" ht="18" customHeight="1">
      <c r="A215" s="47"/>
      <c r="B215" s="107"/>
      <c r="C215" s="88"/>
      <c r="D215" s="108"/>
      <c r="E215" s="109"/>
      <c r="F215" s="100"/>
      <c r="G215" s="108"/>
      <c r="H215" s="98"/>
      <c r="I215" s="47"/>
    </row>
    <row r="216" spans="1:9" ht="18" customHeight="1">
      <c r="A216" s="14"/>
      <c r="B216" s="110"/>
      <c r="C216" s="15"/>
      <c r="D216" s="111"/>
      <c r="E216" s="112"/>
      <c r="F216" s="105"/>
      <c r="G216" s="111"/>
      <c r="H216" s="103"/>
      <c r="I216" s="14"/>
    </row>
    <row r="217" spans="1:9" ht="18" customHeight="1">
      <c r="A217" s="47"/>
      <c r="B217" s="107"/>
      <c r="C217" s="88"/>
      <c r="D217" s="108"/>
      <c r="E217" s="109"/>
      <c r="F217" s="100"/>
      <c r="G217" s="108"/>
      <c r="H217" s="98"/>
      <c r="I217" s="47"/>
    </row>
    <row r="218" spans="1:9" ht="18" customHeight="1">
      <c r="A218" s="14"/>
      <c r="B218" s="110"/>
      <c r="C218" s="15"/>
      <c r="D218" s="111"/>
      <c r="E218" s="112"/>
      <c r="F218" s="105"/>
      <c r="G218" s="111"/>
      <c r="H218" s="103"/>
      <c r="I218" s="14"/>
    </row>
    <row r="219" spans="1:9" ht="18" customHeight="1">
      <c r="A219" s="47"/>
      <c r="B219" s="107"/>
      <c r="C219" s="88"/>
      <c r="D219" s="108"/>
      <c r="E219" s="109"/>
      <c r="F219" s="100"/>
      <c r="G219" s="108"/>
      <c r="H219" s="98"/>
      <c r="I219" s="47"/>
    </row>
    <row r="220" spans="1:9" ht="18" customHeight="1">
      <c r="A220" s="14"/>
      <c r="B220" s="110"/>
      <c r="C220" s="15"/>
      <c r="D220" s="111"/>
      <c r="E220" s="112"/>
      <c r="F220" s="105"/>
      <c r="G220" s="111"/>
      <c r="H220" s="103"/>
      <c r="I220" s="14"/>
    </row>
    <row r="221" spans="1:9" ht="18" customHeight="1">
      <c r="A221" s="47"/>
      <c r="B221" s="107"/>
      <c r="C221" s="88"/>
      <c r="D221" s="108"/>
      <c r="E221" s="109"/>
      <c r="F221" s="100"/>
      <c r="G221" s="108"/>
      <c r="H221" s="98"/>
      <c r="I221" s="47"/>
    </row>
    <row r="222" spans="1:9" ht="18" customHeight="1">
      <c r="A222" s="14"/>
      <c r="B222" s="110"/>
      <c r="C222" s="15"/>
      <c r="D222" s="111"/>
      <c r="E222" s="112"/>
      <c r="F222" s="105"/>
      <c r="G222" s="111"/>
      <c r="H222" s="103"/>
      <c r="I222" s="14"/>
    </row>
    <row r="223" spans="1:9" ht="18" customHeight="1">
      <c r="A223" s="47"/>
      <c r="B223" s="107"/>
      <c r="C223" s="88"/>
      <c r="D223" s="108"/>
      <c r="E223" s="109"/>
      <c r="F223" s="100"/>
      <c r="G223" s="108"/>
      <c r="H223" s="98"/>
      <c r="I223" s="47"/>
    </row>
    <row r="224" spans="1:9" ht="18" customHeight="1">
      <c r="A224" s="14"/>
      <c r="B224" s="110"/>
      <c r="C224" s="15"/>
      <c r="D224" s="111"/>
      <c r="E224" s="112"/>
      <c r="F224" s="105"/>
      <c r="G224" s="111"/>
      <c r="H224" s="103"/>
      <c r="I224" s="14"/>
    </row>
    <row r="225" spans="1:9" ht="18" customHeight="1">
      <c r="A225" s="47"/>
      <c r="B225" s="107"/>
      <c r="C225" s="88"/>
      <c r="D225" s="108"/>
      <c r="E225" s="109"/>
      <c r="F225" s="100"/>
      <c r="G225" s="108"/>
      <c r="H225" s="98"/>
      <c r="I225" s="47"/>
    </row>
    <row r="226" spans="1:9" ht="18" customHeight="1">
      <c r="A226" s="14"/>
      <c r="B226" s="110"/>
      <c r="C226" s="15"/>
      <c r="D226" s="111"/>
      <c r="E226" s="112"/>
      <c r="F226" s="105"/>
      <c r="G226" s="111"/>
      <c r="H226" s="103"/>
      <c r="I226" s="14"/>
    </row>
    <row r="227" spans="1:9" ht="18" customHeight="1">
      <c r="A227" s="47"/>
      <c r="B227" s="107"/>
      <c r="C227" s="88"/>
      <c r="D227" s="108"/>
      <c r="E227" s="109"/>
      <c r="F227" s="100"/>
      <c r="G227" s="108"/>
      <c r="H227" s="98"/>
      <c r="I227" s="47"/>
    </row>
    <row r="228" spans="1:9" ht="18" customHeight="1">
      <c r="A228" s="14"/>
      <c r="B228" s="110"/>
      <c r="C228" s="15"/>
      <c r="D228" s="111"/>
      <c r="E228" s="112"/>
      <c r="F228" s="105"/>
      <c r="G228" s="111"/>
      <c r="H228" s="103"/>
      <c r="I228" s="14"/>
    </row>
    <row r="229" spans="1:9" ht="18" customHeight="1">
      <c r="A229" s="47"/>
      <c r="B229" s="107"/>
      <c r="C229" s="88"/>
      <c r="D229" s="108"/>
      <c r="E229" s="109"/>
      <c r="F229" s="100"/>
      <c r="G229" s="108"/>
      <c r="H229" s="98"/>
      <c r="I229" s="47"/>
    </row>
    <row r="230" spans="1:9" ht="18" customHeight="1">
      <c r="A230" s="14"/>
      <c r="B230" s="110"/>
      <c r="C230" s="15"/>
      <c r="D230" s="111"/>
      <c r="E230" s="112"/>
      <c r="F230" s="105"/>
      <c r="G230" s="111"/>
      <c r="H230" s="103"/>
      <c r="I230" s="14"/>
    </row>
    <row r="231" spans="1:9" ht="18" customHeight="1">
      <c r="A231" s="47"/>
      <c r="B231" s="107"/>
      <c r="C231" s="88"/>
      <c r="D231" s="108"/>
      <c r="E231" s="109"/>
      <c r="F231" s="100"/>
      <c r="G231" s="108"/>
      <c r="H231" s="98"/>
      <c r="I231" s="47"/>
    </row>
    <row r="232" spans="1:9" ht="18" customHeight="1">
      <c r="A232" s="14"/>
      <c r="B232" s="110"/>
      <c r="C232" s="15"/>
      <c r="D232" s="111"/>
      <c r="E232" s="112"/>
      <c r="F232" s="105"/>
      <c r="G232" s="111"/>
      <c r="H232" s="103"/>
      <c r="I232" s="14"/>
    </row>
    <row r="233" spans="1:9" ht="18" customHeight="1">
      <c r="A233" s="47"/>
      <c r="B233" s="107"/>
      <c r="C233" s="88"/>
      <c r="D233" s="108"/>
      <c r="E233" s="109"/>
      <c r="F233" s="100"/>
      <c r="G233" s="108"/>
      <c r="H233" s="98"/>
      <c r="I233" s="47"/>
    </row>
    <row r="234" spans="1:9" ht="18" customHeight="1">
      <c r="A234" s="14"/>
      <c r="B234" s="110"/>
      <c r="C234" s="15"/>
      <c r="D234" s="111"/>
      <c r="E234" s="112"/>
      <c r="F234" s="105"/>
      <c r="G234" s="111"/>
      <c r="H234" s="103"/>
      <c r="I234" s="14"/>
    </row>
    <row r="235" spans="1:9" ht="18" customHeight="1">
      <c r="A235" s="47"/>
      <c r="B235" s="107"/>
      <c r="C235" s="88"/>
      <c r="D235" s="108"/>
      <c r="E235" s="109"/>
      <c r="F235" s="100"/>
      <c r="G235" s="108"/>
      <c r="H235" s="98"/>
      <c r="I235" s="47"/>
    </row>
    <row r="236" spans="1:9" ht="18" customHeight="1">
      <c r="A236" s="14"/>
      <c r="B236" s="110"/>
      <c r="C236" s="15"/>
      <c r="D236" s="111"/>
      <c r="E236" s="112"/>
      <c r="F236" s="105"/>
      <c r="G236" s="111"/>
      <c r="H236" s="103"/>
      <c r="I236" s="14"/>
    </row>
    <row r="237" spans="1:9" ht="18" customHeight="1">
      <c r="A237" s="47"/>
      <c r="B237" s="107"/>
      <c r="C237" s="88"/>
      <c r="D237" s="108"/>
      <c r="E237" s="109"/>
      <c r="F237" s="100"/>
      <c r="G237" s="108"/>
      <c r="H237" s="98"/>
      <c r="I237" s="47"/>
    </row>
    <row r="238" spans="1:9" ht="18" customHeight="1">
      <c r="A238" s="14"/>
      <c r="B238" s="110"/>
      <c r="C238" s="15"/>
      <c r="D238" s="111"/>
      <c r="E238" s="112"/>
      <c r="F238" s="105"/>
      <c r="G238" s="111"/>
      <c r="H238" s="103"/>
      <c r="I238" s="14"/>
    </row>
    <row r="239" spans="1:9" ht="18" customHeight="1">
      <c r="A239" s="47"/>
      <c r="B239" s="107"/>
      <c r="C239" s="88"/>
      <c r="D239" s="108"/>
      <c r="E239" s="109"/>
      <c r="F239" s="100"/>
      <c r="G239" s="108"/>
      <c r="H239" s="98"/>
      <c r="I239" s="47"/>
    </row>
    <row r="240" spans="1:9" ht="18" customHeight="1">
      <c r="A240" s="14"/>
      <c r="B240" s="110"/>
      <c r="C240" s="15"/>
      <c r="D240" s="111"/>
      <c r="E240" s="112"/>
      <c r="F240" s="105"/>
      <c r="G240" s="111"/>
      <c r="H240" s="103"/>
      <c r="I240" s="14"/>
    </row>
    <row r="241" spans="1:9" ht="18" customHeight="1">
      <c r="A241" s="47"/>
      <c r="B241" s="107"/>
      <c r="C241" s="88"/>
      <c r="D241" s="108"/>
      <c r="E241" s="109"/>
      <c r="F241" s="100"/>
      <c r="G241" s="108"/>
      <c r="H241" s="98"/>
      <c r="I241" s="47"/>
    </row>
    <row r="242" spans="1:9" ht="18" customHeight="1">
      <c r="A242" s="14"/>
      <c r="B242" s="110"/>
      <c r="C242" s="15"/>
      <c r="D242" s="111"/>
      <c r="E242" s="112"/>
      <c r="F242" s="105"/>
      <c r="G242" s="111"/>
      <c r="H242" s="103"/>
      <c r="I242" s="14"/>
    </row>
    <row r="243" spans="1:9" ht="18" customHeight="1">
      <c r="A243" s="47"/>
      <c r="B243" s="107"/>
      <c r="C243" s="88"/>
      <c r="D243" s="108"/>
      <c r="E243" s="109"/>
      <c r="F243" s="100"/>
      <c r="G243" s="108"/>
      <c r="H243" s="98"/>
      <c r="I243" s="47"/>
    </row>
    <row r="244" spans="1:9" ht="18" customHeight="1">
      <c r="A244" s="14"/>
      <c r="B244" s="110"/>
      <c r="C244" s="15"/>
      <c r="D244" s="111"/>
      <c r="E244" s="112"/>
      <c r="F244" s="105"/>
      <c r="G244" s="111"/>
      <c r="H244" s="103"/>
      <c r="I244" s="14"/>
    </row>
    <row r="245" spans="1:9" ht="18" customHeight="1">
      <c r="A245" s="47"/>
      <c r="B245" s="107"/>
      <c r="C245" s="88"/>
      <c r="D245" s="108"/>
      <c r="E245" s="109"/>
      <c r="F245" s="100"/>
      <c r="G245" s="108"/>
      <c r="H245" s="98"/>
      <c r="I245" s="47"/>
    </row>
    <row r="246" spans="1:9" ht="18" customHeight="1">
      <c r="A246" s="14"/>
      <c r="B246" s="110"/>
      <c r="C246" s="15"/>
      <c r="D246" s="111"/>
      <c r="E246" s="112"/>
      <c r="F246" s="105"/>
      <c r="G246" s="111"/>
      <c r="H246" s="103"/>
      <c r="I246" s="14"/>
    </row>
    <row r="247" spans="1:9" ht="18" customHeight="1">
      <c r="A247" s="47"/>
      <c r="B247" s="107"/>
      <c r="C247" s="88"/>
      <c r="D247" s="108"/>
      <c r="E247" s="109"/>
      <c r="F247" s="100"/>
      <c r="G247" s="108"/>
      <c r="H247" s="98"/>
      <c r="I247" s="47"/>
    </row>
    <row r="248" spans="1:9" ht="18" customHeight="1">
      <c r="A248" s="14"/>
      <c r="B248" s="110"/>
      <c r="C248" s="15"/>
      <c r="D248" s="111"/>
      <c r="E248" s="112"/>
      <c r="F248" s="105"/>
      <c r="G248" s="111"/>
      <c r="H248" s="103"/>
      <c r="I248" s="14"/>
    </row>
    <row r="249" spans="1:9" ht="18" customHeight="1">
      <c r="A249" s="47"/>
      <c r="B249" s="107"/>
      <c r="C249" s="88"/>
      <c r="D249" s="108"/>
      <c r="E249" s="109"/>
      <c r="F249" s="100"/>
      <c r="G249" s="108"/>
      <c r="H249" s="98"/>
      <c r="I249" s="47"/>
    </row>
    <row r="250" spans="1:9" ht="18" customHeight="1">
      <c r="A250" s="14"/>
      <c r="B250" s="110"/>
      <c r="C250" s="15"/>
      <c r="D250" s="111"/>
      <c r="E250" s="112"/>
      <c r="F250" s="105"/>
      <c r="G250" s="111"/>
      <c r="H250" s="103"/>
      <c r="I250" s="14"/>
    </row>
    <row r="251" spans="1:9" ht="18" customHeight="1">
      <c r="A251" s="47"/>
      <c r="B251" s="107"/>
      <c r="C251" s="88"/>
      <c r="D251" s="108"/>
      <c r="E251" s="109"/>
      <c r="F251" s="100"/>
      <c r="G251" s="108"/>
      <c r="H251" s="98"/>
      <c r="I251" s="47"/>
    </row>
    <row r="252" spans="1:9" ht="18" customHeight="1">
      <c r="A252" s="14"/>
      <c r="B252" s="110"/>
      <c r="C252" s="15"/>
      <c r="D252" s="111"/>
      <c r="E252" s="112"/>
      <c r="F252" s="105"/>
      <c r="G252" s="111"/>
      <c r="H252" s="103"/>
      <c r="I252" s="14"/>
    </row>
    <row r="253" spans="1:9" ht="18" customHeight="1">
      <c r="A253" s="47"/>
      <c r="B253" s="107"/>
      <c r="C253" s="88"/>
      <c r="D253" s="108"/>
      <c r="E253" s="109"/>
      <c r="F253" s="100"/>
      <c r="G253" s="108"/>
      <c r="H253" s="98"/>
      <c r="I253" s="47"/>
    </row>
    <row r="254" spans="1:9" ht="18" customHeight="1">
      <c r="A254" s="14"/>
      <c r="B254" s="110"/>
      <c r="C254" s="15"/>
      <c r="D254" s="111"/>
      <c r="E254" s="112"/>
      <c r="F254" s="105"/>
      <c r="G254" s="111"/>
      <c r="H254" s="103"/>
      <c r="I254" s="14"/>
    </row>
    <row r="255" spans="1:9" ht="18" customHeight="1">
      <c r="A255" s="47"/>
      <c r="B255" s="107"/>
      <c r="C255" s="88"/>
      <c r="D255" s="108"/>
      <c r="E255" s="109"/>
      <c r="F255" s="100"/>
      <c r="G255" s="108"/>
      <c r="H255" s="98"/>
      <c r="I255" s="47"/>
    </row>
    <row r="256" spans="1:9" ht="18" customHeight="1">
      <c r="A256" s="14"/>
      <c r="B256" s="110"/>
      <c r="C256" s="15"/>
      <c r="D256" s="111"/>
      <c r="E256" s="112"/>
      <c r="F256" s="105"/>
      <c r="G256" s="111"/>
      <c r="H256" s="103"/>
      <c r="I256" s="14"/>
    </row>
    <row r="257" spans="1:9" ht="18" customHeight="1">
      <c r="A257" s="47"/>
      <c r="B257" s="107"/>
      <c r="C257" s="88"/>
      <c r="D257" s="108"/>
      <c r="E257" s="109"/>
      <c r="F257" s="100"/>
      <c r="G257" s="108"/>
      <c r="H257" s="98"/>
      <c r="I257" s="47"/>
    </row>
    <row r="258" spans="1:9" ht="18" customHeight="1">
      <c r="A258" s="14"/>
      <c r="B258" s="110"/>
      <c r="C258" s="15"/>
      <c r="D258" s="111"/>
      <c r="E258" s="112"/>
      <c r="F258" s="105"/>
      <c r="G258" s="111"/>
      <c r="H258" s="103"/>
      <c r="I258" s="14"/>
    </row>
    <row r="259" spans="1:9" ht="18" customHeight="1">
      <c r="A259" s="47"/>
      <c r="B259" s="107"/>
      <c r="C259" s="88"/>
      <c r="D259" s="108"/>
      <c r="E259" s="109"/>
      <c r="F259" s="100"/>
      <c r="G259" s="108"/>
      <c r="H259" s="98"/>
      <c r="I259" s="47"/>
    </row>
    <row r="260" spans="1:9" ht="18" customHeight="1">
      <c r="A260" s="14"/>
      <c r="B260" s="110"/>
      <c r="C260" s="15"/>
      <c r="D260" s="111"/>
      <c r="E260" s="112"/>
      <c r="F260" s="105"/>
      <c r="G260" s="111"/>
      <c r="H260" s="103"/>
      <c r="I260" s="14"/>
    </row>
    <row r="261" spans="1:9" ht="18" customHeight="1">
      <c r="A261" s="47"/>
      <c r="B261" s="107"/>
      <c r="C261" s="88"/>
      <c r="D261" s="108"/>
      <c r="E261" s="109"/>
      <c r="F261" s="100"/>
      <c r="G261" s="108"/>
      <c r="H261" s="98"/>
      <c r="I261" s="47"/>
    </row>
    <row r="262" spans="1:9" ht="18" customHeight="1">
      <c r="A262" s="14"/>
      <c r="B262" s="110"/>
      <c r="C262" s="15"/>
      <c r="D262" s="111"/>
      <c r="E262" s="112"/>
      <c r="F262" s="105"/>
      <c r="G262" s="111"/>
      <c r="H262" s="103"/>
      <c r="I262" s="14"/>
    </row>
    <row r="263" spans="1:9" ht="18" customHeight="1">
      <c r="A263" s="47"/>
      <c r="B263" s="107"/>
      <c r="C263" s="88"/>
      <c r="D263" s="108"/>
      <c r="E263" s="109"/>
      <c r="F263" s="100"/>
      <c r="G263" s="108"/>
      <c r="H263" s="98"/>
      <c r="I263" s="47"/>
    </row>
    <row r="264" spans="1:9" ht="18" customHeight="1">
      <c r="A264" s="14"/>
      <c r="B264" s="110"/>
      <c r="C264" s="15"/>
      <c r="D264" s="111"/>
      <c r="E264" s="112"/>
      <c r="F264" s="105"/>
      <c r="G264" s="111"/>
      <c r="H264" s="103"/>
      <c r="I264" s="14"/>
    </row>
    <row r="265" spans="1:9" ht="18" customHeight="1">
      <c r="A265" s="47"/>
      <c r="B265" s="107"/>
      <c r="C265" s="88"/>
      <c r="D265" s="108"/>
      <c r="E265" s="109"/>
      <c r="F265" s="100"/>
      <c r="G265" s="108"/>
      <c r="H265" s="98"/>
      <c r="I265" s="47"/>
    </row>
    <row r="266" spans="1:9" ht="18" customHeight="1">
      <c r="A266" s="14"/>
      <c r="B266" s="110"/>
      <c r="C266" s="15"/>
      <c r="D266" s="111"/>
      <c r="E266" s="112"/>
      <c r="F266" s="105"/>
      <c r="G266" s="111"/>
      <c r="H266" s="103"/>
      <c r="I266" s="14"/>
    </row>
    <row r="267" spans="1:9" ht="18" customHeight="1">
      <c r="A267" s="47"/>
      <c r="B267" s="107"/>
      <c r="C267" s="88"/>
      <c r="D267" s="108"/>
      <c r="E267" s="109"/>
      <c r="F267" s="100"/>
      <c r="G267" s="108"/>
      <c r="H267" s="98"/>
      <c r="I267" s="47"/>
    </row>
    <row r="268" spans="1:9" ht="18" customHeight="1">
      <c r="A268" s="14"/>
      <c r="B268" s="110"/>
      <c r="C268" s="15"/>
      <c r="D268" s="111"/>
      <c r="E268" s="112"/>
      <c r="F268" s="105"/>
      <c r="G268" s="111"/>
      <c r="H268" s="103"/>
      <c r="I268" s="14"/>
    </row>
    <row r="269" spans="1:9" ht="18" customHeight="1">
      <c r="A269" s="47"/>
      <c r="B269" s="107"/>
      <c r="C269" s="88"/>
      <c r="D269" s="108"/>
      <c r="E269" s="109"/>
      <c r="F269" s="100"/>
      <c r="G269" s="108"/>
      <c r="H269" s="98"/>
      <c r="I269" s="47"/>
    </row>
    <row r="270" spans="1:9" ht="18" customHeight="1">
      <c r="A270" s="14"/>
      <c r="B270" s="110"/>
      <c r="C270" s="15"/>
      <c r="D270" s="111"/>
      <c r="E270" s="112"/>
      <c r="F270" s="105"/>
      <c r="G270" s="111"/>
      <c r="H270" s="103"/>
      <c r="I270" s="14"/>
    </row>
    <row r="271" spans="1:9" ht="18" customHeight="1">
      <c r="A271" s="47"/>
      <c r="B271" s="107"/>
      <c r="C271" s="88"/>
      <c r="D271" s="108"/>
      <c r="E271" s="109"/>
      <c r="F271" s="100"/>
      <c r="G271" s="108"/>
      <c r="H271" s="98"/>
      <c r="I271" s="47"/>
    </row>
    <row r="272" spans="1:9" ht="18" customHeight="1">
      <c r="A272" s="14"/>
      <c r="B272" s="110"/>
      <c r="C272" s="15"/>
      <c r="D272" s="111"/>
      <c r="E272" s="112"/>
      <c r="F272" s="105"/>
      <c r="G272" s="111"/>
      <c r="H272" s="103"/>
      <c r="I272" s="14"/>
    </row>
    <row r="273" spans="1:9" ht="18" customHeight="1">
      <c r="A273" s="47"/>
      <c r="B273" s="107"/>
      <c r="C273" s="88"/>
      <c r="D273" s="108"/>
      <c r="E273" s="109"/>
      <c r="F273" s="100"/>
      <c r="G273" s="108"/>
      <c r="H273" s="98"/>
      <c r="I273" s="47"/>
    </row>
    <row r="274" spans="1:9" ht="18" customHeight="1">
      <c r="A274" s="14"/>
      <c r="B274" s="110"/>
      <c r="C274" s="15"/>
      <c r="D274" s="111"/>
      <c r="E274" s="112"/>
      <c r="F274" s="105"/>
      <c r="G274" s="111"/>
      <c r="H274" s="103"/>
      <c r="I274" s="14"/>
    </row>
    <row r="275" spans="1:9" ht="18" customHeight="1">
      <c r="A275" s="47"/>
      <c r="B275" s="107"/>
      <c r="C275" s="88"/>
      <c r="D275" s="108"/>
      <c r="E275" s="109"/>
      <c r="F275" s="100"/>
      <c r="G275" s="108"/>
      <c r="H275" s="98"/>
      <c r="I275" s="47"/>
    </row>
    <row r="276" spans="1:9" ht="18" customHeight="1">
      <c r="A276" s="14"/>
      <c r="B276" s="110"/>
      <c r="C276" s="15"/>
      <c r="D276" s="111"/>
      <c r="E276" s="112"/>
      <c r="F276" s="105"/>
      <c r="G276" s="111"/>
      <c r="H276" s="103"/>
      <c r="I276" s="14"/>
    </row>
    <row r="277" spans="1:9" ht="18" customHeight="1">
      <c r="A277" s="47"/>
      <c r="B277" s="107"/>
      <c r="C277" s="88"/>
      <c r="D277" s="108"/>
      <c r="E277" s="109"/>
      <c r="F277" s="100"/>
      <c r="G277" s="108"/>
      <c r="H277" s="98"/>
      <c r="I277" s="47"/>
    </row>
    <row r="278" spans="1:9" ht="18" customHeight="1">
      <c r="A278" s="14"/>
      <c r="B278" s="110"/>
      <c r="C278" s="15"/>
      <c r="D278" s="111"/>
      <c r="E278" s="112"/>
      <c r="F278" s="105"/>
      <c r="G278" s="111"/>
      <c r="H278" s="103"/>
      <c r="I278" s="14"/>
    </row>
    <row r="279" spans="1:9" ht="18" customHeight="1">
      <c r="A279" s="47"/>
      <c r="B279" s="107"/>
      <c r="C279" s="88"/>
      <c r="D279" s="108"/>
      <c r="E279" s="109"/>
      <c r="F279" s="100"/>
      <c r="G279" s="108"/>
      <c r="H279" s="98"/>
      <c r="I279" s="47"/>
    </row>
    <row r="280" spans="1:9" ht="18" customHeight="1">
      <c r="A280" s="14"/>
      <c r="B280" s="110"/>
      <c r="C280" s="15"/>
      <c r="D280" s="111"/>
      <c r="E280" s="112"/>
      <c r="F280" s="105"/>
      <c r="G280" s="111"/>
      <c r="H280" s="103"/>
      <c r="I280" s="14"/>
    </row>
    <row r="281" spans="1:9" ht="18" customHeight="1">
      <c r="A281" s="47"/>
      <c r="B281" s="107"/>
      <c r="C281" s="88"/>
      <c r="D281" s="108"/>
      <c r="E281" s="109"/>
      <c r="F281" s="100"/>
      <c r="G281" s="108"/>
      <c r="H281" s="98"/>
      <c r="I281" s="47"/>
    </row>
    <row r="282" spans="1:9" ht="18" customHeight="1">
      <c r="A282" s="14"/>
      <c r="B282" s="110"/>
      <c r="C282" s="15"/>
      <c r="D282" s="111"/>
      <c r="E282" s="112"/>
      <c r="F282" s="105"/>
      <c r="G282" s="111"/>
      <c r="H282" s="103"/>
      <c r="I282" s="14"/>
    </row>
    <row r="283" spans="1:9" ht="18" customHeight="1">
      <c r="A283" s="47"/>
      <c r="B283" s="107"/>
      <c r="C283" s="88"/>
      <c r="D283" s="108"/>
      <c r="E283" s="109"/>
      <c r="F283" s="100"/>
      <c r="G283" s="108"/>
      <c r="H283" s="98"/>
      <c r="I283" s="47"/>
    </row>
    <row r="284" spans="1:9" ht="18" customHeight="1">
      <c r="A284" s="14"/>
      <c r="B284" s="110"/>
      <c r="C284" s="15"/>
      <c r="D284" s="111"/>
      <c r="E284" s="112"/>
      <c r="F284" s="105"/>
      <c r="G284" s="111"/>
      <c r="H284" s="103"/>
      <c r="I284" s="14"/>
    </row>
    <row r="285" spans="1:9" ht="18" customHeight="1">
      <c r="A285" s="47"/>
      <c r="B285" s="107"/>
      <c r="C285" s="88"/>
      <c r="D285" s="108"/>
      <c r="E285" s="109"/>
      <c r="F285" s="100"/>
      <c r="G285" s="108"/>
      <c r="H285" s="98"/>
      <c r="I285" s="47"/>
    </row>
    <row r="286" spans="1:9" ht="18" customHeight="1">
      <c r="A286" s="14"/>
      <c r="B286" s="110"/>
      <c r="C286" s="15"/>
      <c r="D286" s="111"/>
      <c r="E286" s="112"/>
      <c r="F286" s="105"/>
      <c r="G286" s="111"/>
      <c r="H286" s="103"/>
      <c r="I286" s="14"/>
    </row>
    <row r="287" spans="1:9" ht="18" customHeight="1">
      <c r="A287" s="47"/>
      <c r="B287" s="107"/>
      <c r="C287" s="88"/>
      <c r="D287" s="108"/>
      <c r="E287" s="109"/>
      <c r="F287" s="100"/>
      <c r="G287" s="108"/>
      <c r="H287" s="98"/>
      <c r="I287" s="47"/>
    </row>
    <row r="288" spans="1:9" ht="18" customHeight="1">
      <c r="A288" s="14"/>
      <c r="B288" s="110"/>
      <c r="C288" s="15"/>
      <c r="D288" s="111"/>
      <c r="E288" s="112"/>
      <c r="F288" s="105"/>
      <c r="G288" s="111"/>
      <c r="H288" s="103"/>
      <c r="I288" s="14"/>
    </row>
    <row r="289" spans="1:9" ht="18" customHeight="1">
      <c r="A289" s="47"/>
      <c r="B289" s="107"/>
      <c r="C289" s="88"/>
      <c r="D289" s="108"/>
      <c r="E289" s="109"/>
      <c r="F289" s="100"/>
      <c r="G289" s="108"/>
      <c r="H289" s="98"/>
      <c r="I289" s="47"/>
    </row>
    <row r="290" spans="1:9" ht="18" customHeight="1">
      <c r="A290" s="14"/>
      <c r="B290" s="110"/>
      <c r="C290" s="15"/>
      <c r="D290" s="111"/>
      <c r="E290" s="112"/>
      <c r="F290" s="105"/>
      <c r="G290" s="111"/>
      <c r="H290" s="103"/>
      <c r="I290" s="14"/>
    </row>
    <row r="291" spans="1:9" ht="18" customHeight="1">
      <c r="A291" s="47"/>
      <c r="B291" s="107"/>
      <c r="C291" s="88"/>
      <c r="D291" s="108"/>
      <c r="E291" s="109"/>
      <c r="F291" s="100"/>
      <c r="G291" s="108"/>
      <c r="H291" s="98"/>
      <c r="I291" s="47"/>
    </row>
    <row r="292" spans="1:9" ht="18" customHeight="1">
      <c r="A292" s="14"/>
      <c r="B292" s="110"/>
      <c r="C292" s="15"/>
      <c r="D292" s="111"/>
      <c r="E292" s="112"/>
      <c r="F292" s="105"/>
      <c r="G292" s="111"/>
      <c r="H292" s="103"/>
      <c r="I292" s="14"/>
    </row>
    <row r="293" spans="1:9" ht="18" customHeight="1">
      <c r="A293" s="47"/>
      <c r="B293" s="107"/>
      <c r="C293" s="88"/>
      <c r="D293" s="108"/>
      <c r="E293" s="109"/>
      <c r="F293" s="100"/>
      <c r="G293" s="108"/>
      <c r="H293" s="98"/>
      <c r="I293" s="47"/>
    </row>
    <row r="294" spans="1:9" ht="18" customHeight="1">
      <c r="A294" s="14"/>
      <c r="B294" s="110"/>
      <c r="C294" s="15"/>
      <c r="D294" s="111"/>
      <c r="E294" s="112"/>
      <c r="F294" s="105"/>
      <c r="G294" s="111"/>
      <c r="H294" s="103"/>
      <c r="I294" s="14"/>
    </row>
    <row r="295" spans="1:9" ht="18" customHeight="1">
      <c r="A295" s="47"/>
      <c r="B295" s="107"/>
      <c r="C295" s="88"/>
      <c r="D295" s="108"/>
      <c r="E295" s="109"/>
      <c r="F295" s="100"/>
      <c r="G295" s="108"/>
      <c r="H295" s="98"/>
      <c r="I295" s="47"/>
    </row>
    <row r="296" spans="1:9" ht="18" customHeight="1">
      <c r="A296" s="14"/>
      <c r="B296" s="110"/>
      <c r="C296" s="15"/>
      <c r="D296" s="111"/>
      <c r="E296" s="112"/>
      <c r="F296" s="105"/>
      <c r="G296" s="111"/>
      <c r="H296" s="103"/>
      <c r="I296" s="14"/>
    </row>
    <row r="297" spans="1:9" ht="18" customHeight="1">
      <c r="A297" s="47"/>
      <c r="B297" s="107"/>
      <c r="C297" s="88"/>
      <c r="D297" s="108"/>
      <c r="E297" s="109"/>
      <c r="F297" s="100"/>
      <c r="G297" s="108"/>
      <c r="H297" s="98"/>
      <c r="I297" s="47"/>
    </row>
    <row r="298" spans="1:9" ht="18" customHeight="1">
      <c r="A298" s="14"/>
      <c r="B298" s="110"/>
      <c r="C298" s="15"/>
      <c r="D298" s="111"/>
      <c r="E298" s="112"/>
      <c r="F298" s="105"/>
      <c r="G298" s="111"/>
      <c r="H298" s="103"/>
      <c r="I298" s="14"/>
    </row>
    <row r="299" spans="1:9" ht="18" customHeight="1">
      <c r="A299" s="47"/>
      <c r="B299" s="107"/>
      <c r="C299" s="88"/>
      <c r="D299" s="108"/>
      <c r="E299" s="109"/>
      <c r="F299" s="100"/>
      <c r="G299" s="108"/>
      <c r="H299" s="98"/>
      <c r="I299" s="47"/>
    </row>
    <row r="300" spans="1:9" ht="18" customHeight="1">
      <c r="A300" s="14"/>
      <c r="B300" s="110"/>
      <c r="C300" s="15"/>
      <c r="D300" s="111"/>
      <c r="E300" s="112"/>
      <c r="F300" s="105"/>
      <c r="G300" s="111"/>
      <c r="H300" s="103"/>
      <c r="I300" s="14"/>
    </row>
    <row r="301" spans="1:9" ht="18" customHeight="1">
      <c r="A301" s="47"/>
      <c r="B301" s="107"/>
      <c r="C301" s="88"/>
      <c r="D301" s="108"/>
      <c r="E301" s="109"/>
      <c r="F301" s="100"/>
      <c r="G301" s="108"/>
      <c r="H301" s="98"/>
      <c r="I301" s="47"/>
    </row>
    <row r="302" spans="1:9" ht="18" customHeight="1">
      <c r="A302" s="14"/>
      <c r="B302" s="110"/>
      <c r="C302" s="15"/>
      <c r="D302" s="111"/>
      <c r="E302" s="112"/>
      <c r="F302" s="105"/>
      <c r="G302" s="111"/>
      <c r="H302" s="103"/>
      <c r="I302" s="14"/>
    </row>
    <row r="303" spans="1:9" ht="18" customHeight="1">
      <c r="A303" s="47"/>
      <c r="B303" s="107"/>
      <c r="C303" s="88"/>
      <c r="D303" s="108"/>
      <c r="E303" s="109"/>
      <c r="F303" s="100"/>
      <c r="G303" s="108"/>
      <c r="H303" s="98"/>
      <c r="I303" s="47"/>
    </row>
    <row r="304" spans="1:9" ht="18" customHeight="1">
      <c r="A304" s="14"/>
      <c r="B304" s="110"/>
      <c r="C304" s="15"/>
      <c r="D304" s="111"/>
      <c r="E304" s="112"/>
      <c r="F304" s="105"/>
      <c r="G304" s="111"/>
      <c r="H304" s="103"/>
      <c r="I304" s="14"/>
    </row>
    <row r="305" spans="1:9" ht="18" customHeight="1">
      <c r="A305" s="47"/>
      <c r="B305" s="107"/>
      <c r="C305" s="88"/>
      <c r="D305" s="108"/>
      <c r="E305" s="109"/>
      <c r="F305" s="100"/>
      <c r="G305" s="108"/>
      <c r="H305" s="98"/>
      <c r="I305" s="47"/>
    </row>
    <row r="306" spans="1:9" ht="18" customHeight="1">
      <c r="A306" s="14"/>
      <c r="B306" s="110"/>
      <c r="C306" s="15"/>
      <c r="D306" s="111"/>
      <c r="E306" s="112"/>
      <c r="F306" s="105"/>
      <c r="G306" s="111"/>
      <c r="H306" s="103"/>
      <c r="I306" s="14"/>
    </row>
    <row r="307" spans="1:9" ht="18" customHeight="1">
      <c r="A307" s="47"/>
      <c r="B307" s="107"/>
      <c r="C307" s="88"/>
      <c r="D307" s="108"/>
      <c r="E307" s="109"/>
      <c r="F307" s="100"/>
      <c r="G307" s="108"/>
      <c r="H307" s="98"/>
      <c r="I307" s="47"/>
    </row>
    <row r="308" spans="1:9" ht="18" customHeight="1">
      <c r="A308" s="14"/>
      <c r="B308" s="110"/>
      <c r="C308" s="15"/>
      <c r="D308" s="111"/>
      <c r="E308" s="112"/>
      <c r="F308" s="105"/>
      <c r="G308" s="111"/>
      <c r="H308" s="103"/>
      <c r="I308" s="14"/>
    </row>
    <row r="309" spans="1:9" ht="18" customHeight="1">
      <c r="A309" s="47"/>
      <c r="B309" s="107"/>
      <c r="C309" s="88"/>
      <c r="D309" s="108"/>
      <c r="E309" s="109"/>
      <c r="F309" s="100"/>
      <c r="G309" s="108"/>
      <c r="H309" s="98"/>
      <c r="I309" s="47"/>
    </row>
    <row r="310" spans="1:9" ht="18" customHeight="1">
      <c r="A310" s="14"/>
      <c r="B310" s="110"/>
      <c r="C310" s="15"/>
      <c r="D310" s="111"/>
      <c r="E310" s="112"/>
      <c r="F310" s="105"/>
      <c r="G310" s="111"/>
      <c r="H310" s="103"/>
      <c r="I310" s="14"/>
    </row>
    <row r="311" spans="1:9" ht="18" customHeight="1">
      <c r="A311" s="47"/>
      <c r="B311" s="107"/>
      <c r="C311" s="88"/>
      <c r="D311" s="108"/>
      <c r="E311" s="109"/>
      <c r="F311" s="100"/>
      <c r="G311" s="108"/>
      <c r="H311" s="98"/>
      <c r="I311" s="47"/>
    </row>
    <row r="312" spans="1:9" ht="18" customHeight="1">
      <c r="A312" s="14"/>
      <c r="B312" s="110"/>
      <c r="C312" s="15"/>
      <c r="D312" s="111"/>
      <c r="E312" s="112"/>
      <c r="F312" s="105"/>
      <c r="G312" s="111"/>
      <c r="H312" s="103"/>
      <c r="I312" s="14"/>
    </row>
    <row r="313" spans="1:9" ht="18" customHeight="1">
      <c r="A313" s="47"/>
      <c r="B313" s="107"/>
      <c r="C313" s="88"/>
      <c r="D313" s="108"/>
      <c r="E313" s="109"/>
      <c r="F313" s="100"/>
      <c r="G313" s="108"/>
      <c r="H313" s="98"/>
      <c r="I313" s="47"/>
    </row>
    <row r="314" spans="1:9" ht="18" customHeight="1">
      <c r="A314" s="14"/>
      <c r="B314" s="110"/>
      <c r="C314" s="15"/>
      <c r="D314" s="111"/>
      <c r="E314" s="112"/>
      <c r="F314" s="105"/>
      <c r="G314" s="111"/>
      <c r="H314" s="103"/>
      <c r="I314" s="14"/>
    </row>
    <row r="315" spans="1:9" ht="18" customHeight="1">
      <c r="A315" s="47"/>
      <c r="B315" s="107"/>
      <c r="C315" s="88"/>
      <c r="D315" s="108"/>
      <c r="E315" s="109"/>
      <c r="F315" s="100"/>
      <c r="G315" s="108"/>
      <c r="H315" s="98"/>
      <c r="I315" s="47"/>
    </row>
    <row r="316" spans="1:9" ht="18" customHeight="1">
      <c r="A316" s="14"/>
      <c r="B316" s="110"/>
      <c r="C316" s="15"/>
      <c r="D316" s="111"/>
      <c r="E316" s="112"/>
      <c r="F316" s="105"/>
      <c r="G316" s="111"/>
      <c r="H316" s="103"/>
      <c r="I316" s="14"/>
    </row>
    <row r="317" spans="1:9" ht="18" customHeight="1">
      <c r="A317" s="47"/>
      <c r="B317" s="107"/>
      <c r="C317" s="88"/>
      <c r="D317" s="108"/>
      <c r="E317" s="109"/>
      <c r="F317" s="100"/>
      <c r="G317" s="108"/>
      <c r="H317" s="98"/>
      <c r="I317" s="47"/>
    </row>
    <row r="318" spans="1:9" ht="18" customHeight="1">
      <c r="A318" s="14"/>
      <c r="B318" s="110"/>
      <c r="C318" s="15"/>
      <c r="D318" s="111"/>
      <c r="E318" s="112"/>
      <c r="F318" s="105"/>
      <c r="G318" s="111"/>
      <c r="H318" s="103"/>
      <c r="I318" s="14"/>
    </row>
    <row r="319" spans="1:9" ht="18" customHeight="1">
      <c r="A319" s="47"/>
      <c r="B319" s="107"/>
      <c r="C319" s="88"/>
      <c r="D319" s="108"/>
      <c r="E319" s="109"/>
      <c r="F319" s="100"/>
      <c r="G319" s="108"/>
      <c r="H319" s="98"/>
      <c r="I319" s="47"/>
    </row>
    <row r="320" spans="1:9" ht="18" customHeight="1">
      <c r="A320" s="14"/>
      <c r="B320" s="110"/>
      <c r="C320" s="15"/>
      <c r="D320" s="111"/>
      <c r="E320" s="112"/>
      <c r="F320" s="105"/>
      <c r="G320" s="111"/>
      <c r="H320" s="103"/>
      <c r="I320" s="14"/>
    </row>
    <row r="321" spans="1:9" ht="18" customHeight="1">
      <c r="A321" s="47"/>
      <c r="B321" s="107"/>
      <c r="C321" s="88"/>
      <c r="D321" s="108"/>
      <c r="E321" s="109"/>
      <c r="F321" s="100"/>
      <c r="G321" s="108"/>
      <c r="H321" s="98"/>
      <c r="I321" s="47"/>
    </row>
    <row r="322" spans="1:9" ht="18" customHeight="1">
      <c r="A322" s="14"/>
      <c r="B322" s="110"/>
      <c r="C322" s="15"/>
      <c r="D322" s="111"/>
      <c r="E322" s="112"/>
      <c r="F322" s="105"/>
      <c r="G322" s="111"/>
      <c r="H322" s="103"/>
      <c r="I322" s="14"/>
    </row>
    <row r="323" spans="1:9" ht="18" customHeight="1">
      <c r="A323" s="47"/>
      <c r="B323" s="107"/>
      <c r="C323" s="88"/>
      <c r="D323" s="108"/>
      <c r="E323" s="109"/>
      <c r="F323" s="100"/>
      <c r="G323" s="108"/>
      <c r="H323" s="98"/>
      <c r="I323" s="47"/>
    </row>
    <row r="324" spans="1:9" ht="18" customHeight="1">
      <c r="A324" s="14"/>
      <c r="B324" s="110"/>
      <c r="C324" s="15"/>
      <c r="D324" s="111"/>
      <c r="E324" s="112"/>
      <c r="F324" s="105"/>
      <c r="G324" s="111"/>
      <c r="H324" s="103"/>
      <c r="I324" s="14"/>
    </row>
    <row r="325" spans="1:9" ht="18" customHeight="1">
      <c r="A325" s="47"/>
      <c r="B325" s="107"/>
      <c r="C325" s="88"/>
      <c r="D325" s="108"/>
      <c r="E325" s="109"/>
      <c r="F325" s="100"/>
      <c r="G325" s="108"/>
      <c r="H325" s="98"/>
      <c r="I325" s="47"/>
    </row>
    <row r="326" spans="1:9" ht="18" customHeight="1">
      <c r="A326" s="14"/>
      <c r="B326" s="110"/>
      <c r="C326" s="15"/>
      <c r="D326" s="111"/>
      <c r="E326" s="112"/>
      <c r="F326" s="105"/>
      <c r="G326" s="111"/>
      <c r="H326" s="103"/>
      <c r="I326" s="14"/>
    </row>
    <row r="327" spans="1:9" ht="18" customHeight="1">
      <c r="A327" s="47"/>
      <c r="B327" s="107"/>
      <c r="C327" s="88"/>
      <c r="D327" s="108"/>
      <c r="E327" s="109"/>
      <c r="F327" s="100"/>
      <c r="G327" s="108"/>
      <c r="H327" s="98"/>
      <c r="I327" s="47"/>
    </row>
    <row r="328" spans="1:9" ht="18" customHeight="1">
      <c r="A328" s="14"/>
      <c r="B328" s="110"/>
      <c r="C328" s="15"/>
      <c r="D328" s="111"/>
      <c r="E328" s="112"/>
      <c r="F328" s="105"/>
      <c r="G328" s="111"/>
      <c r="H328" s="103"/>
      <c r="I328" s="14"/>
    </row>
    <row r="329" spans="1:9" ht="18" customHeight="1">
      <c r="A329" s="47"/>
      <c r="B329" s="107"/>
      <c r="C329" s="88"/>
      <c r="D329" s="108"/>
      <c r="E329" s="109"/>
      <c r="F329" s="100"/>
      <c r="G329" s="108"/>
      <c r="H329" s="98"/>
      <c r="I329" s="47"/>
    </row>
    <row r="330" spans="1:9" ht="18" customHeight="1">
      <c r="A330" s="14"/>
      <c r="B330" s="110"/>
      <c r="C330" s="15"/>
      <c r="D330" s="111"/>
      <c r="E330" s="112"/>
      <c r="F330" s="105"/>
      <c r="G330" s="111"/>
      <c r="H330" s="103"/>
      <c r="I330" s="14"/>
    </row>
    <row r="331" spans="1:9" ht="18" customHeight="1">
      <c r="A331" s="47"/>
      <c r="B331" s="107"/>
      <c r="C331" s="88"/>
      <c r="D331" s="108"/>
      <c r="E331" s="109"/>
      <c r="F331" s="100"/>
      <c r="G331" s="108"/>
      <c r="H331" s="98"/>
      <c r="I331" s="47"/>
    </row>
    <row r="332" spans="1:9" ht="18" customHeight="1">
      <c r="A332" s="14"/>
      <c r="B332" s="110"/>
      <c r="C332" s="15"/>
      <c r="D332" s="111"/>
      <c r="E332" s="112"/>
      <c r="F332" s="105"/>
      <c r="G332" s="111"/>
      <c r="H332" s="103"/>
      <c r="I332" s="14"/>
    </row>
    <row r="333" spans="1:9" ht="18" customHeight="1">
      <c r="A333" s="47"/>
      <c r="B333" s="107"/>
      <c r="C333" s="88"/>
      <c r="D333" s="108"/>
      <c r="E333" s="109"/>
      <c r="F333" s="100"/>
      <c r="G333" s="108"/>
      <c r="H333" s="98"/>
      <c r="I333" s="47"/>
    </row>
    <row r="334" spans="1:9" ht="18" customHeight="1">
      <c r="A334" s="14"/>
      <c r="B334" s="110"/>
      <c r="C334" s="15"/>
      <c r="D334" s="111"/>
      <c r="E334" s="112"/>
      <c r="F334" s="105"/>
      <c r="G334" s="111"/>
      <c r="H334" s="103"/>
      <c r="I334" s="14"/>
    </row>
    <row r="335" spans="1:9" ht="18" customHeight="1">
      <c r="A335" s="47"/>
      <c r="B335" s="107"/>
      <c r="C335" s="88"/>
      <c r="D335" s="108"/>
      <c r="E335" s="109"/>
      <c r="F335" s="100"/>
      <c r="G335" s="108"/>
      <c r="H335" s="98"/>
      <c r="I335" s="47"/>
    </row>
    <row r="336" spans="1:9" ht="18" customHeight="1">
      <c r="A336" s="14"/>
      <c r="B336" s="110"/>
      <c r="C336" s="15"/>
      <c r="D336" s="111"/>
      <c r="E336" s="112"/>
      <c r="F336" s="105"/>
      <c r="G336" s="111"/>
      <c r="H336" s="103"/>
      <c r="I336" s="14"/>
    </row>
    <row r="337" spans="1:9" ht="18" customHeight="1">
      <c r="A337" s="47"/>
      <c r="B337" s="107"/>
      <c r="C337" s="88"/>
      <c r="D337" s="108"/>
      <c r="E337" s="109"/>
      <c r="F337" s="100"/>
      <c r="G337" s="108"/>
      <c r="H337" s="98"/>
      <c r="I337" s="47"/>
    </row>
    <row r="338" spans="1:9" ht="18" customHeight="1">
      <c r="A338" s="14"/>
      <c r="B338" s="110"/>
      <c r="C338" s="15"/>
      <c r="D338" s="111"/>
      <c r="E338" s="112"/>
      <c r="F338" s="105"/>
      <c r="G338" s="111"/>
      <c r="H338" s="103"/>
      <c r="I338" s="14"/>
    </row>
    <row r="339" spans="1:9" ht="18" customHeight="1">
      <c r="A339" s="47"/>
      <c r="B339" s="107"/>
      <c r="C339" s="88"/>
      <c r="D339" s="108"/>
      <c r="E339" s="109"/>
      <c r="F339" s="100"/>
      <c r="G339" s="108"/>
      <c r="H339" s="98"/>
      <c r="I339" s="47"/>
    </row>
    <row r="340" spans="1:9" ht="18" customHeight="1">
      <c r="A340" s="14"/>
      <c r="B340" s="110"/>
      <c r="C340" s="15"/>
      <c r="D340" s="111"/>
      <c r="E340" s="112"/>
      <c r="F340" s="105"/>
      <c r="G340" s="111"/>
      <c r="H340" s="103"/>
      <c r="I340" s="14"/>
    </row>
    <row r="341" spans="1:9" ht="18" customHeight="1">
      <c r="A341" s="47"/>
      <c r="B341" s="107"/>
      <c r="C341" s="88"/>
      <c r="D341" s="108"/>
      <c r="E341" s="109"/>
      <c r="F341" s="100"/>
      <c r="G341" s="108"/>
      <c r="H341" s="98"/>
      <c r="I341" s="47"/>
    </row>
    <row r="342" spans="1:9" ht="18" customHeight="1">
      <c r="A342" s="14"/>
      <c r="B342" s="110"/>
      <c r="C342" s="15"/>
      <c r="D342" s="111"/>
      <c r="E342" s="112"/>
      <c r="F342" s="105"/>
      <c r="G342" s="111"/>
      <c r="H342" s="103"/>
      <c r="I342" s="14"/>
    </row>
    <row r="343" spans="1:9" ht="18" customHeight="1">
      <c r="A343" s="47"/>
      <c r="B343" s="107"/>
      <c r="C343" s="88"/>
      <c r="D343" s="108"/>
      <c r="E343" s="109"/>
      <c r="F343" s="100"/>
      <c r="G343" s="108"/>
      <c r="H343" s="98"/>
      <c r="I343" s="47"/>
    </row>
    <row r="344" spans="1:9" ht="18" customHeight="1">
      <c r="A344" s="14"/>
      <c r="B344" s="110"/>
      <c r="C344" s="15"/>
      <c r="D344" s="111"/>
      <c r="E344" s="112"/>
      <c r="F344" s="105"/>
      <c r="G344" s="111"/>
      <c r="H344" s="103"/>
      <c r="I344" s="14"/>
    </row>
    <row r="345" spans="1:9" ht="18" customHeight="1">
      <c r="A345" s="47"/>
      <c r="B345" s="107"/>
      <c r="C345" s="88"/>
      <c r="D345" s="108"/>
      <c r="E345" s="109"/>
      <c r="F345" s="100"/>
      <c r="G345" s="108"/>
      <c r="H345" s="98"/>
      <c r="I345" s="47"/>
    </row>
    <row r="346" spans="1:9" ht="18" customHeight="1">
      <c r="A346" s="14"/>
      <c r="B346" s="110"/>
      <c r="C346" s="15"/>
      <c r="D346" s="111"/>
      <c r="E346" s="112"/>
      <c r="F346" s="105"/>
      <c r="G346" s="111"/>
      <c r="H346" s="103"/>
      <c r="I346" s="14"/>
    </row>
    <row r="347" spans="1:9" ht="18" customHeight="1">
      <c r="A347" s="47"/>
      <c r="B347" s="107"/>
      <c r="C347" s="88"/>
      <c r="D347" s="108"/>
      <c r="E347" s="109"/>
      <c r="F347" s="100"/>
      <c r="G347" s="108"/>
      <c r="H347" s="98"/>
      <c r="I347" s="47"/>
    </row>
    <row r="348" spans="1:9" ht="18" customHeight="1">
      <c r="A348" s="14"/>
      <c r="B348" s="110"/>
      <c r="C348" s="15"/>
      <c r="D348" s="111"/>
      <c r="E348" s="112"/>
      <c r="F348" s="105"/>
      <c r="G348" s="111"/>
      <c r="H348" s="103"/>
      <c r="I348" s="14"/>
    </row>
    <row r="349" spans="1:9" ht="18" customHeight="1">
      <c r="A349" s="47"/>
      <c r="B349" s="107"/>
      <c r="C349" s="88"/>
      <c r="D349" s="108"/>
      <c r="E349" s="109"/>
      <c r="F349" s="100"/>
      <c r="G349" s="108"/>
      <c r="H349" s="98"/>
      <c r="I349" s="47"/>
    </row>
    <row r="350" spans="1:9" ht="18" customHeight="1">
      <c r="A350" s="14"/>
      <c r="B350" s="110"/>
      <c r="C350" s="15"/>
      <c r="D350" s="111"/>
      <c r="E350" s="112"/>
      <c r="F350" s="105"/>
      <c r="G350" s="111"/>
      <c r="H350" s="103"/>
      <c r="I350" s="14"/>
    </row>
    <row r="351" spans="1:9" ht="18" customHeight="1">
      <c r="A351" s="47"/>
      <c r="B351" s="107"/>
      <c r="C351" s="88"/>
      <c r="D351" s="108"/>
      <c r="E351" s="109"/>
      <c r="F351" s="100"/>
      <c r="G351" s="108"/>
      <c r="H351" s="98"/>
      <c r="I351" s="47"/>
    </row>
    <row r="352" spans="1:9" ht="18" customHeight="1">
      <c r="A352" s="14"/>
      <c r="B352" s="110"/>
      <c r="C352" s="15"/>
      <c r="D352" s="111"/>
      <c r="E352" s="112"/>
      <c r="F352" s="105"/>
      <c r="G352" s="111"/>
      <c r="H352" s="103"/>
      <c r="I352" s="14"/>
    </row>
    <row r="353" spans="1:9" ht="18" customHeight="1">
      <c r="A353" s="47"/>
      <c r="B353" s="107"/>
      <c r="C353" s="88"/>
      <c r="D353" s="108"/>
      <c r="E353" s="109"/>
      <c r="F353" s="100"/>
      <c r="G353" s="108"/>
      <c r="H353" s="98"/>
      <c r="I353" s="47"/>
    </row>
    <row r="354" spans="1:9" ht="18" customHeight="1">
      <c r="A354" s="14"/>
      <c r="B354" s="110"/>
      <c r="C354" s="15"/>
      <c r="D354" s="111"/>
      <c r="E354" s="112"/>
      <c r="F354" s="105"/>
      <c r="G354" s="111"/>
      <c r="H354" s="103"/>
      <c r="I354" s="14"/>
    </row>
    <row r="355" spans="1:9" ht="18" customHeight="1">
      <c r="A355" s="47"/>
      <c r="B355" s="107"/>
      <c r="C355" s="88"/>
      <c r="D355" s="108"/>
      <c r="E355" s="109"/>
      <c r="F355" s="100"/>
      <c r="G355" s="108"/>
      <c r="H355" s="98"/>
      <c r="I355" s="47"/>
    </row>
    <row r="356" spans="1:9" ht="18" customHeight="1">
      <c r="A356" s="14"/>
      <c r="B356" s="110"/>
      <c r="C356" s="15"/>
      <c r="D356" s="111"/>
      <c r="E356" s="112"/>
      <c r="F356" s="105"/>
      <c r="G356" s="111"/>
      <c r="H356" s="103"/>
      <c r="I356" s="14"/>
    </row>
    <row r="357" spans="1:9" ht="18" customHeight="1">
      <c r="A357" s="47"/>
      <c r="B357" s="107"/>
      <c r="C357" s="88"/>
      <c r="D357" s="108"/>
      <c r="E357" s="109"/>
      <c r="F357" s="100"/>
      <c r="G357" s="108"/>
      <c r="H357" s="98"/>
      <c r="I357" s="47"/>
    </row>
    <row r="358" spans="1:9" ht="18" customHeight="1">
      <c r="A358" s="14"/>
      <c r="B358" s="110"/>
      <c r="C358" s="15"/>
      <c r="D358" s="111"/>
      <c r="E358" s="112"/>
      <c r="F358" s="105"/>
      <c r="G358" s="111"/>
      <c r="H358" s="103"/>
      <c r="I358" s="14"/>
    </row>
    <row r="359" spans="1:9" ht="18" customHeight="1">
      <c r="A359" s="47"/>
      <c r="B359" s="107"/>
      <c r="C359" s="88"/>
      <c r="D359" s="108"/>
      <c r="E359" s="109"/>
      <c r="F359" s="100"/>
      <c r="G359" s="108"/>
      <c r="H359" s="98"/>
      <c r="I359" s="47"/>
    </row>
    <row r="360" spans="1:9" ht="18" customHeight="1">
      <c r="A360" s="14"/>
      <c r="B360" s="110"/>
      <c r="C360" s="15"/>
      <c r="D360" s="111"/>
      <c r="E360" s="112"/>
      <c r="F360" s="105"/>
      <c r="G360" s="111"/>
      <c r="H360" s="103"/>
      <c r="I360" s="14"/>
    </row>
    <row r="361" spans="1:9" ht="18" customHeight="1">
      <c r="A361" s="47"/>
      <c r="B361" s="107"/>
      <c r="C361" s="88"/>
      <c r="D361" s="108"/>
      <c r="E361" s="109"/>
      <c r="F361" s="100"/>
      <c r="G361" s="108"/>
      <c r="H361" s="98"/>
      <c r="I361" s="47"/>
    </row>
    <row r="362" spans="1:9" ht="18" customHeight="1">
      <c r="A362" s="14"/>
      <c r="B362" s="110"/>
      <c r="C362" s="15"/>
      <c r="D362" s="111"/>
      <c r="E362" s="112"/>
      <c r="F362" s="105"/>
      <c r="G362" s="111"/>
      <c r="H362" s="103"/>
      <c r="I362" s="14"/>
    </row>
    <row r="363" spans="1:9" ht="18" customHeight="1">
      <c r="A363" s="47"/>
      <c r="B363" s="107"/>
      <c r="C363" s="88"/>
      <c r="D363" s="108"/>
      <c r="E363" s="109"/>
      <c r="F363" s="100"/>
      <c r="G363" s="108"/>
      <c r="H363" s="98"/>
      <c r="I363" s="47"/>
    </row>
    <row r="364" spans="1:9" ht="18" customHeight="1">
      <c r="A364" s="14"/>
      <c r="B364" s="110"/>
      <c r="C364" s="15"/>
      <c r="D364" s="111"/>
      <c r="E364" s="112"/>
      <c r="F364" s="105"/>
      <c r="G364" s="111"/>
      <c r="H364" s="103"/>
      <c r="I364" s="14"/>
    </row>
    <row r="365" spans="1:9" ht="18" customHeight="1">
      <c r="A365" s="47"/>
      <c r="B365" s="107"/>
      <c r="C365" s="88"/>
      <c r="D365" s="108"/>
      <c r="E365" s="109"/>
      <c r="F365" s="100"/>
      <c r="G365" s="108"/>
      <c r="H365" s="98"/>
      <c r="I365" s="47"/>
    </row>
    <row r="366" spans="1:9" ht="18" customHeight="1">
      <c r="A366" s="14"/>
      <c r="B366" s="110"/>
      <c r="C366" s="15"/>
      <c r="D366" s="111"/>
      <c r="E366" s="112"/>
      <c r="F366" s="105"/>
      <c r="G366" s="111"/>
      <c r="H366" s="103"/>
      <c r="I366" s="14"/>
    </row>
    <row r="367" spans="1:9" ht="18" customHeight="1">
      <c r="A367" s="47"/>
      <c r="B367" s="107"/>
      <c r="C367" s="88"/>
      <c r="D367" s="108"/>
      <c r="E367" s="109"/>
      <c r="F367" s="100"/>
      <c r="G367" s="108"/>
      <c r="H367" s="98"/>
      <c r="I367" s="47"/>
    </row>
    <row r="368" spans="1:9" ht="18" customHeight="1">
      <c r="A368" s="14"/>
      <c r="B368" s="110"/>
      <c r="C368" s="15"/>
      <c r="D368" s="111"/>
      <c r="E368" s="112"/>
      <c r="F368" s="105"/>
      <c r="G368" s="111"/>
      <c r="H368" s="103"/>
      <c r="I368" s="14"/>
    </row>
    <row r="369" spans="1:9" ht="18" customHeight="1">
      <c r="A369" s="47"/>
      <c r="B369" s="107"/>
      <c r="C369" s="88"/>
      <c r="D369" s="108"/>
      <c r="E369" s="109"/>
      <c r="F369" s="100"/>
      <c r="G369" s="108"/>
      <c r="H369" s="98"/>
      <c r="I369" s="47"/>
    </row>
    <row r="370" spans="1:9" ht="18" customHeight="1">
      <c r="A370" s="14"/>
      <c r="B370" s="110"/>
      <c r="C370" s="15"/>
      <c r="D370" s="111"/>
      <c r="E370" s="112"/>
      <c r="F370" s="105"/>
      <c r="G370" s="111"/>
      <c r="H370" s="103"/>
      <c r="I370" s="14"/>
    </row>
    <row r="371" spans="1:9" ht="18" customHeight="1">
      <c r="A371" s="47"/>
      <c r="B371" s="107"/>
      <c r="C371" s="88"/>
      <c r="D371" s="108"/>
      <c r="E371" s="109"/>
      <c r="F371" s="100"/>
      <c r="G371" s="108"/>
      <c r="H371" s="98"/>
      <c r="I371" s="47"/>
    </row>
    <row r="372" spans="1:9" ht="18" customHeight="1">
      <c r="A372" s="14"/>
      <c r="B372" s="110"/>
      <c r="C372" s="15"/>
      <c r="D372" s="111"/>
      <c r="E372" s="112"/>
      <c r="F372" s="105"/>
      <c r="G372" s="111"/>
      <c r="H372" s="103"/>
      <c r="I372" s="14"/>
    </row>
    <row r="373" spans="1:9" ht="18" customHeight="1">
      <c r="A373" s="47"/>
      <c r="B373" s="107"/>
      <c r="C373" s="88"/>
      <c r="D373" s="108"/>
      <c r="E373" s="109"/>
      <c r="F373" s="100"/>
      <c r="G373" s="108"/>
      <c r="H373" s="98"/>
      <c r="I373" s="47"/>
    </row>
    <row r="374" spans="1:9" ht="18" customHeight="1">
      <c r="A374" s="14"/>
      <c r="B374" s="110"/>
      <c r="C374" s="15"/>
      <c r="D374" s="111"/>
      <c r="E374" s="112"/>
      <c r="F374" s="105"/>
      <c r="G374" s="111"/>
      <c r="H374" s="103"/>
      <c r="I374" s="14"/>
    </row>
    <row r="375" spans="1:9" ht="18" customHeight="1">
      <c r="A375" s="47"/>
      <c r="B375" s="107"/>
      <c r="C375" s="88"/>
      <c r="D375" s="108"/>
      <c r="E375" s="109"/>
      <c r="F375" s="100"/>
      <c r="G375" s="108"/>
      <c r="H375" s="98"/>
      <c r="I375" s="47"/>
    </row>
    <row r="376" spans="1:9" ht="18" customHeight="1">
      <c r="A376" s="14"/>
      <c r="B376" s="110"/>
      <c r="C376" s="15"/>
      <c r="D376" s="111"/>
      <c r="E376" s="112"/>
      <c r="F376" s="105"/>
      <c r="G376" s="111"/>
      <c r="H376" s="103"/>
      <c r="I376" s="14"/>
    </row>
    <row r="377" spans="1:9" ht="18" customHeight="1">
      <c r="A377" s="47"/>
      <c r="B377" s="107"/>
      <c r="C377" s="88"/>
      <c r="D377" s="108"/>
      <c r="E377" s="109"/>
      <c r="F377" s="100"/>
      <c r="G377" s="108"/>
      <c r="H377" s="98"/>
      <c r="I377" s="47"/>
    </row>
    <row r="378" spans="1:9" ht="18" customHeight="1">
      <c r="A378" s="14"/>
      <c r="B378" s="110"/>
      <c r="C378" s="15"/>
      <c r="D378" s="111"/>
      <c r="E378" s="112"/>
      <c r="F378" s="105"/>
      <c r="G378" s="111"/>
      <c r="H378" s="103"/>
      <c r="I378" s="14"/>
    </row>
    <row r="379" spans="1:9" ht="18" customHeight="1">
      <c r="A379" s="47"/>
      <c r="B379" s="107"/>
      <c r="C379" s="88"/>
      <c r="D379" s="108"/>
      <c r="E379" s="109"/>
      <c r="F379" s="100"/>
      <c r="G379" s="108"/>
      <c r="H379" s="98"/>
      <c r="I379" s="47"/>
    </row>
    <row r="380" spans="1:9" ht="18" customHeight="1">
      <c r="A380" s="14"/>
      <c r="B380" s="110"/>
      <c r="C380" s="15"/>
      <c r="D380" s="111"/>
      <c r="E380" s="112"/>
      <c r="F380" s="105"/>
      <c r="G380" s="111"/>
      <c r="H380" s="103"/>
      <c r="I380" s="14"/>
    </row>
    <row r="381" spans="1:9" ht="18" customHeight="1">
      <c r="A381" s="47"/>
      <c r="B381" s="107"/>
      <c r="C381" s="88"/>
      <c r="D381" s="108"/>
      <c r="E381" s="109"/>
      <c r="F381" s="100"/>
      <c r="G381" s="108"/>
      <c r="H381" s="98"/>
      <c r="I381" s="47"/>
    </row>
    <row r="382" spans="1:9" ht="18" customHeight="1">
      <c r="A382" s="14"/>
      <c r="B382" s="110"/>
      <c r="C382" s="15"/>
      <c r="D382" s="111"/>
      <c r="E382" s="112"/>
      <c r="F382" s="105"/>
      <c r="G382" s="111"/>
      <c r="H382" s="103"/>
      <c r="I382" s="14"/>
    </row>
    <row r="383" spans="1:9" ht="18" customHeight="1">
      <c r="A383" s="47"/>
      <c r="B383" s="107"/>
      <c r="C383" s="88"/>
      <c r="D383" s="108"/>
      <c r="E383" s="109"/>
      <c r="F383" s="100"/>
      <c r="G383" s="108"/>
      <c r="H383" s="98"/>
      <c r="I383" s="47"/>
    </row>
    <row r="384" spans="1:9" ht="18" customHeight="1">
      <c r="A384" s="14"/>
      <c r="B384" s="110"/>
      <c r="C384" s="15"/>
      <c r="D384" s="111"/>
      <c r="E384" s="112"/>
      <c r="F384" s="105"/>
      <c r="G384" s="111"/>
      <c r="H384" s="103"/>
      <c r="I384" s="14"/>
    </row>
    <row r="385" spans="1:9" ht="18" customHeight="1">
      <c r="A385" s="47"/>
      <c r="B385" s="107"/>
      <c r="C385" s="88"/>
      <c r="D385" s="108"/>
      <c r="E385" s="109"/>
      <c r="F385" s="100"/>
      <c r="G385" s="108"/>
      <c r="H385" s="98"/>
      <c r="I385" s="47"/>
    </row>
    <row r="386" spans="1:9" ht="18" customHeight="1">
      <c r="A386" s="14"/>
      <c r="B386" s="110"/>
      <c r="C386" s="15"/>
      <c r="D386" s="111"/>
      <c r="E386" s="112"/>
      <c r="F386" s="105"/>
      <c r="G386" s="111"/>
      <c r="H386" s="103"/>
      <c r="I386" s="14"/>
    </row>
    <row r="387" spans="1:9" ht="18" customHeight="1">
      <c r="A387" s="47"/>
      <c r="B387" s="107"/>
      <c r="C387" s="88"/>
      <c r="D387" s="108"/>
      <c r="E387" s="109"/>
      <c r="F387" s="100"/>
      <c r="G387" s="108"/>
      <c r="H387" s="98"/>
      <c r="I387" s="47"/>
    </row>
    <row r="388" spans="1:9" ht="18" customHeight="1">
      <c r="A388" s="14"/>
      <c r="B388" s="110"/>
      <c r="C388" s="15"/>
      <c r="D388" s="111"/>
      <c r="E388" s="112"/>
      <c r="F388" s="105"/>
      <c r="G388" s="111"/>
      <c r="H388" s="103"/>
      <c r="I388" s="14"/>
    </row>
    <row r="389" spans="1:9" ht="18" customHeight="1">
      <c r="A389" s="47"/>
      <c r="B389" s="107"/>
      <c r="C389" s="88"/>
      <c r="D389" s="108"/>
      <c r="E389" s="109"/>
      <c r="F389" s="100"/>
      <c r="G389" s="108"/>
      <c r="H389" s="98"/>
      <c r="I389" s="47"/>
    </row>
    <row r="390" spans="1:9" ht="18" customHeight="1">
      <c r="A390" s="14"/>
      <c r="B390" s="110"/>
      <c r="C390" s="15"/>
      <c r="D390" s="111"/>
      <c r="E390" s="112"/>
      <c r="F390" s="105"/>
      <c r="G390" s="111"/>
      <c r="H390" s="103"/>
      <c r="I390" s="14"/>
    </row>
    <row r="391" spans="1:9" ht="18" customHeight="1">
      <c r="A391" s="47"/>
      <c r="B391" s="107"/>
      <c r="C391" s="88"/>
      <c r="D391" s="108"/>
      <c r="E391" s="109"/>
      <c r="F391" s="100"/>
      <c r="G391" s="108"/>
      <c r="H391" s="98"/>
      <c r="I391" s="47"/>
    </row>
    <row r="392" spans="1:9" ht="18" customHeight="1">
      <c r="A392" s="14"/>
      <c r="B392" s="110"/>
      <c r="C392" s="15"/>
      <c r="D392" s="111"/>
      <c r="E392" s="112"/>
      <c r="F392" s="105"/>
      <c r="G392" s="111"/>
      <c r="H392" s="103"/>
      <c r="I392" s="14"/>
    </row>
    <row r="393" spans="1:9" ht="18" customHeight="1">
      <c r="A393" s="47"/>
      <c r="B393" s="107"/>
      <c r="C393" s="88"/>
      <c r="D393" s="108"/>
      <c r="E393" s="109"/>
      <c r="F393" s="100"/>
      <c r="G393" s="108"/>
      <c r="H393" s="98"/>
      <c r="I393" s="47"/>
    </row>
    <row r="394" spans="1:9" ht="18" customHeight="1">
      <c r="A394" s="14"/>
      <c r="B394" s="110"/>
      <c r="C394" s="15"/>
      <c r="D394" s="111"/>
      <c r="E394" s="112"/>
      <c r="F394" s="105"/>
      <c r="G394" s="111"/>
      <c r="H394" s="103"/>
      <c r="I394" s="14"/>
    </row>
    <row r="395" spans="1:9" ht="18" customHeight="1">
      <c r="A395" s="47"/>
      <c r="B395" s="107"/>
      <c r="C395" s="88"/>
      <c r="D395" s="108"/>
      <c r="E395" s="109"/>
      <c r="F395" s="100"/>
      <c r="G395" s="108"/>
      <c r="H395" s="98"/>
      <c r="I395" s="47"/>
    </row>
    <row r="396" spans="1:9" ht="18" customHeight="1">
      <c r="A396" s="14"/>
      <c r="B396" s="110"/>
      <c r="C396" s="15"/>
      <c r="D396" s="111"/>
      <c r="E396" s="112"/>
      <c r="F396" s="105"/>
      <c r="G396" s="111"/>
      <c r="H396" s="103"/>
      <c r="I396" s="14"/>
    </row>
    <row r="397" spans="1:9" ht="18" customHeight="1">
      <c r="A397" s="47"/>
      <c r="B397" s="107"/>
      <c r="C397" s="88"/>
      <c r="D397" s="108"/>
      <c r="E397" s="109"/>
      <c r="F397" s="100"/>
      <c r="G397" s="108"/>
      <c r="H397" s="98"/>
      <c r="I397" s="47"/>
    </row>
    <row r="398" spans="1:9" ht="18" customHeight="1">
      <c r="A398" s="14"/>
      <c r="B398" s="110"/>
      <c r="C398" s="15"/>
      <c r="D398" s="111"/>
      <c r="E398" s="112"/>
      <c r="F398" s="105"/>
      <c r="G398" s="111"/>
      <c r="H398" s="103"/>
      <c r="I398" s="14"/>
    </row>
    <row r="399" spans="1:9" ht="18" customHeight="1">
      <c r="A399" s="47"/>
      <c r="B399" s="107"/>
      <c r="C399" s="88"/>
      <c r="D399" s="108"/>
      <c r="E399" s="109"/>
      <c r="F399" s="100"/>
      <c r="G399" s="108"/>
      <c r="H399" s="98"/>
      <c r="I399" s="47"/>
    </row>
    <row r="400" spans="1:9" ht="18" customHeight="1">
      <c r="A400" s="14"/>
      <c r="B400" s="110"/>
      <c r="C400" s="15"/>
      <c r="D400" s="111"/>
      <c r="E400" s="112"/>
      <c r="F400" s="105"/>
      <c r="G400" s="111"/>
      <c r="H400" s="103"/>
      <c r="I400" s="14"/>
    </row>
    <row r="401" spans="1:9" ht="18" customHeight="1">
      <c r="A401" s="47"/>
      <c r="B401" s="107"/>
      <c r="C401" s="88"/>
      <c r="D401" s="108"/>
      <c r="E401" s="109"/>
      <c r="F401" s="100"/>
      <c r="G401" s="108"/>
      <c r="H401" s="98"/>
      <c r="I401" s="47"/>
    </row>
    <row r="402" spans="1:9" ht="18" customHeight="1">
      <c r="A402" s="14"/>
      <c r="B402" s="110"/>
      <c r="C402" s="15"/>
      <c r="D402" s="111"/>
      <c r="E402" s="112"/>
      <c r="F402" s="105"/>
      <c r="G402" s="111"/>
      <c r="H402" s="103"/>
      <c r="I402" s="14"/>
    </row>
    <row r="403" spans="1:9" ht="18" customHeight="1">
      <c r="A403" s="47"/>
      <c r="B403" s="107"/>
      <c r="C403" s="88"/>
      <c r="D403" s="108"/>
      <c r="E403" s="109"/>
      <c r="F403" s="100"/>
      <c r="G403" s="108"/>
      <c r="H403" s="98"/>
      <c r="I403" s="47"/>
    </row>
    <row r="404" spans="1:9" ht="18" customHeight="1">
      <c r="A404" s="14"/>
      <c r="B404" s="110"/>
      <c r="C404" s="15"/>
      <c r="D404" s="111"/>
      <c r="E404" s="112"/>
      <c r="F404" s="105"/>
      <c r="G404" s="111"/>
      <c r="H404" s="103"/>
      <c r="I404" s="14"/>
    </row>
    <row r="405" spans="1:9" ht="18" customHeight="1">
      <c r="A405" s="47"/>
      <c r="B405" s="107"/>
      <c r="C405" s="88"/>
      <c r="D405" s="108"/>
      <c r="E405" s="109"/>
      <c r="F405" s="100"/>
      <c r="G405" s="108"/>
      <c r="H405" s="98"/>
      <c r="I405" s="47"/>
    </row>
    <row r="406" spans="1:9" ht="18" customHeight="1">
      <c r="A406" s="14"/>
      <c r="B406" s="110"/>
      <c r="C406" s="15"/>
      <c r="D406" s="111"/>
      <c r="E406" s="112"/>
      <c r="F406" s="105"/>
      <c r="G406" s="111"/>
      <c r="H406" s="103"/>
      <c r="I406" s="14"/>
    </row>
    <row r="407" spans="1:9" ht="18" customHeight="1">
      <c r="A407" s="47"/>
      <c r="B407" s="107"/>
      <c r="C407" s="88"/>
      <c r="D407" s="108"/>
      <c r="E407" s="109"/>
      <c r="F407" s="100"/>
      <c r="G407" s="108"/>
      <c r="H407" s="98"/>
      <c r="I407" s="47"/>
    </row>
    <row r="408" spans="1:9" ht="18" customHeight="1">
      <c r="A408" s="14"/>
      <c r="B408" s="110"/>
      <c r="C408" s="15"/>
      <c r="D408" s="111"/>
      <c r="E408" s="112"/>
      <c r="F408" s="105"/>
      <c r="G408" s="111"/>
      <c r="H408" s="103"/>
      <c r="I408" s="14"/>
    </row>
    <row r="409" spans="1:9" ht="18" customHeight="1">
      <c r="A409" s="47"/>
      <c r="B409" s="107"/>
      <c r="C409" s="88"/>
      <c r="D409" s="108"/>
      <c r="E409" s="109"/>
      <c r="F409" s="100"/>
      <c r="G409" s="108"/>
      <c r="H409" s="98"/>
      <c r="I409" s="47"/>
    </row>
    <row r="410" spans="1:9" ht="18" customHeight="1">
      <c r="A410" s="14"/>
      <c r="B410" s="110"/>
      <c r="C410" s="15"/>
      <c r="D410" s="111"/>
      <c r="E410" s="112"/>
      <c r="F410" s="105"/>
      <c r="G410" s="111"/>
      <c r="H410" s="103"/>
      <c r="I410" s="14"/>
    </row>
    <row r="411" spans="1:9" ht="18" customHeight="1">
      <c r="A411" s="47"/>
      <c r="B411" s="107"/>
      <c r="C411" s="88"/>
      <c r="D411" s="108"/>
      <c r="E411" s="109"/>
      <c r="F411" s="100"/>
      <c r="G411" s="108"/>
      <c r="H411" s="98"/>
      <c r="I411" s="47"/>
    </row>
    <row r="412" spans="1:9" ht="18" customHeight="1">
      <c r="A412" s="14"/>
      <c r="B412" s="110"/>
      <c r="C412" s="15"/>
      <c r="D412" s="111"/>
      <c r="E412" s="112"/>
      <c r="F412" s="105"/>
      <c r="G412" s="111"/>
      <c r="H412" s="103"/>
      <c r="I412" s="14"/>
    </row>
    <row r="413" spans="1:9" ht="18" customHeight="1">
      <c r="A413" s="47"/>
      <c r="B413" s="107"/>
      <c r="C413" s="88"/>
      <c r="D413" s="108"/>
      <c r="E413" s="109"/>
      <c r="F413" s="100"/>
      <c r="G413" s="108"/>
      <c r="H413" s="98"/>
      <c r="I413" s="47"/>
    </row>
    <row r="414" spans="1:9" ht="18" customHeight="1">
      <c r="A414" s="14"/>
      <c r="B414" s="110"/>
      <c r="C414" s="15"/>
      <c r="D414" s="111"/>
      <c r="E414" s="112"/>
      <c r="F414" s="105"/>
      <c r="G414" s="111"/>
      <c r="H414" s="103"/>
      <c r="I414" s="14"/>
    </row>
    <row r="415" spans="1:9" ht="18" customHeight="1">
      <c r="A415" s="47"/>
      <c r="B415" s="107"/>
      <c r="C415" s="88"/>
      <c r="D415" s="108"/>
      <c r="E415" s="109"/>
      <c r="F415" s="100"/>
      <c r="G415" s="108"/>
      <c r="H415" s="98"/>
      <c r="I415" s="47"/>
    </row>
    <row r="416" spans="1:9" ht="18" customHeight="1">
      <c r="A416" s="14"/>
      <c r="B416" s="110"/>
      <c r="C416" s="15"/>
      <c r="D416" s="111"/>
      <c r="E416" s="112"/>
      <c r="F416" s="105"/>
      <c r="G416" s="111"/>
      <c r="H416" s="103"/>
      <c r="I416" s="14"/>
    </row>
    <row r="417" spans="1:9" ht="18" customHeight="1">
      <c r="A417" s="47"/>
      <c r="B417" s="107"/>
      <c r="C417" s="88"/>
      <c r="D417" s="108"/>
      <c r="E417" s="109"/>
      <c r="F417" s="100"/>
      <c r="G417" s="108"/>
      <c r="H417" s="98"/>
      <c r="I417" s="47"/>
    </row>
    <row r="418" spans="1:9" ht="18" customHeight="1">
      <c r="A418" s="14"/>
      <c r="B418" s="110"/>
      <c r="C418" s="15"/>
      <c r="D418" s="111"/>
      <c r="E418" s="112"/>
      <c r="F418" s="105"/>
      <c r="G418" s="111"/>
      <c r="H418" s="103"/>
      <c r="I418" s="14"/>
    </row>
    <row r="419" spans="1:9" ht="18" customHeight="1">
      <c r="A419" s="47"/>
      <c r="B419" s="107"/>
      <c r="C419" s="88"/>
      <c r="D419" s="108"/>
      <c r="E419" s="109"/>
      <c r="F419" s="100"/>
      <c r="G419" s="108"/>
      <c r="H419" s="98"/>
      <c r="I419" s="47"/>
    </row>
    <row r="420" spans="1:9" ht="18" customHeight="1">
      <c r="A420" s="14"/>
      <c r="B420" s="110"/>
      <c r="C420" s="15"/>
      <c r="D420" s="111"/>
      <c r="E420" s="112"/>
      <c r="F420" s="105"/>
      <c r="G420" s="111"/>
      <c r="H420" s="103"/>
      <c r="I420" s="14"/>
    </row>
    <row r="421" spans="1:9" ht="18" customHeight="1">
      <c r="A421" s="47"/>
      <c r="B421" s="107"/>
      <c r="C421" s="88"/>
      <c r="D421" s="108"/>
      <c r="E421" s="109"/>
      <c r="F421" s="100"/>
      <c r="G421" s="108"/>
      <c r="H421" s="98"/>
      <c r="I421" s="47"/>
    </row>
    <row r="422" spans="1:9" ht="18" customHeight="1">
      <c r="A422" s="14"/>
      <c r="B422" s="110"/>
      <c r="C422" s="15"/>
      <c r="D422" s="111"/>
      <c r="E422" s="112"/>
      <c r="F422" s="105"/>
      <c r="G422" s="111"/>
      <c r="H422" s="103"/>
      <c r="I422" s="14"/>
    </row>
    <row r="423" spans="1:9" ht="18" customHeight="1">
      <c r="A423" s="47"/>
      <c r="B423" s="107"/>
      <c r="C423" s="88"/>
      <c r="D423" s="108"/>
      <c r="E423" s="109"/>
      <c r="F423" s="100"/>
      <c r="G423" s="108"/>
      <c r="H423" s="98"/>
      <c r="I423" s="47"/>
    </row>
    <row r="424" spans="1:9" ht="18" customHeight="1">
      <c r="A424" s="14"/>
      <c r="B424" s="110"/>
      <c r="C424" s="15"/>
      <c r="D424" s="111"/>
      <c r="E424" s="112"/>
      <c r="F424" s="105"/>
      <c r="G424" s="111"/>
      <c r="H424" s="103"/>
      <c r="I424" s="14"/>
    </row>
    <row r="425" spans="1:9" ht="18" customHeight="1">
      <c r="A425" s="47"/>
      <c r="B425" s="107"/>
      <c r="C425" s="88"/>
      <c r="D425" s="108"/>
      <c r="E425" s="109"/>
      <c r="F425" s="100"/>
      <c r="G425" s="108"/>
      <c r="H425" s="98"/>
      <c r="I425" s="47"/>
    </row>
    <row r="426" spans="1:9" ht="18" customHeight="1">
      <c r="A426" s="14"/>
      <c r="B426" s="110"/>
      <c r="C426" s="15"/>
      <c r="D426" s="111"/>
      <c r="E426" s="112"/>
      <c r="F426" s="105"/>
      <c r="G426" s="111"/>
      <c r="H426" s="103"/>
      <c r="I426" s="14"/>
    </row>
    <row r="427" spans="1:9" ht="18" customHeight="1">
      <c r="A427" s="47"/>
      <c r="B427" s="107"/>
      <c r="C427" s="88"/>
      <c r="D427" s="108"/>
      <c r="E427" s="109"/>
      <c r="F427" s="100"/>
      <c r="G427" s="108"/>
      <c r="H427" s="98"/>
      <c r="I427" s="47"/>
    </row>
    <row r="428" spans="1:9" ht="18" customHeight="1">
      <c r="A428" s="14"/>
      <c r="B428" s="110"/>
      <c r="C428" s="15"/>
      <c r="D428" s="111"/>
      <c r="E428" s="112"/>
      <c r="F428" s="105"/>
      <c r="G428" s="111"/>
      <c r="H428" s="103"/>
      <c r="I428" s="14"/>
    </row>
    <row r="429" spans="1:9" ht="18" customHeight="1">
      <c r="A429" s="47"/>
      <c r="B429" s="107"/>
      <c r="C429" s="88"/>
      <c r="D429" s="108"/>
      <c r="E429" s="109"/>
      <c r="F429" s="100"/>
      <c r="G429" s="108"/>
      <c r="H429" s="98"/>
      <c r="I429" s="47"/>
    </row>
    <row r="430" spans="1:9" ht="18" customHeight="1">
      <c r="A430" s="14"/>
      <c r="B430" s="110"/>
      <c r="C430" s="15"/>
      <c r="D430" s="111"/>
      <c r="E430" s="112"/>
      <c r="F430" s="105"/>
      <c r="G430" s="111"/>
      <c r="H430" s="103"/>
      <c r="I430" s="14"/>
    </row>
    <row r="431" spans="1:9" ht="18" customHeight="1">
      <c r="A431" s="47"/>
      <c r="B431" s="107"/>
      <c r="C431" s="88"/>
      <c r="D431" s="108"/>
      <c r="E431" s="109"/>
      <c r="F431" s="100"/>
      <c r="G431" s="108"/>
      <c r="H431" s="98"/>
      <c r="I431" s="47"/>
    </row>
    <row r="432" spans="1:9" ht="18" customHeight="1">
      <c r="A432" s="14"/>
      <c r="B432" s="110"/>
      <c r="C432" s="15"/>
      <c r="D432" s="111"/>
      <c r="E432" s="112"/>
      <c r="F432" s="105"/>
      <c r="G432" s="111"/>
      <c r="H432" s="103"/>
      <c r="I432" s="14"/>
    </row>
    <row r="433" spans="1:9" ht="18" customHeight="1">
      <c r="A433" s="47"/>
      <c r="B433" s="107"/>
      <c r="C433" s="88"/>
      <c r="D433" s="108"/>
      <c r="E433" s="109"/>
      <c r="F433" s="100"/>
      <c r="G433" s="108"/>
      <c r="H433" s="98"/>
      <c r="I433" s="47"/>
    </row>
    <row r="434" spans="1:9" ht="18" customHeight="1">
      <c r="A434" s="14"/>
      <c r="B434" s="110"/>
      <c r="C434" s="15"/>
      <c r="D434" s="111"/>
      <c r="E434" s="112"/>
      <c r="F434" s="105"/>
      <c r="G434" s="111"/>
      <c r="H434" s="103"/>
      <c r="I434" s="14"/>
    </row>
    <row r="435" spans="1:9" ht="18" customHeight="1">
      <c r="A435" s="47"/>
      <c r="B435" s="107"/>
      <c r="C435" s="88"/>
      <c r="D435" s="108"/>
      <c r="E435" s="109"/>
      <c r="F435" s="100"/>
      <c r="G435" s="108"/>
      <c r="H435" s="98"/>
      <c r="I435" s="47"/>
    </row>
    <row r="436" spans="1:9" ht="18" customHeight="1">
      <c r="A436" s="14"/>
      <c r="B436" s="110"/>
      <c r="C436" s="15"/>
      <c r="D436" s="111"/>
      <c r="E436" s="112"/>
      <c r="F436" s="105"/>
      <c r="G436" s="111"/>
      <c r="H436" s="103"/>
      <c r="I436" s="14"/>
    </row>
    <row r="437" spans="1:9" ht="18" customHeight="1">
      <c r="A437" s="47"/>
      <c r="B437" s="107"/>
      <c r="C437" s="88"/>
      <c r="D437" s="108"/>
      <c r="E437" s="109"/>
      <c r="F437" s="100"/>
      <c r="G437" s="108"/>
      <c r="H437" s="98"/>
      <c r="I437" s="47"/>
    </row>
    <row r="438" spans="1:9" ht="18" customHeight="1">
      <c r="A438" s="14"/>
      <c r="B438" s="110"/>
      <c r="C438" s="15"/>
      <c r="D438" s="111"/>
      <c r="E438" s="112"/>
      <c r="F438" s="105"/>
      <c r="G438" s="111"/>
      <c r="H438" s="103"/>
      <c r="I438" s="14"/>
    </row>
    <row r="439" spans="1:9" ht="18" customHeight="1">
      <c r="A439" s="47"/>
      <c r="B439" s="107"/>
      <c r="C439" s="88"/>
      <c r="D439" s="108"/>
      <c r="E439" s="109"/>
      <c r="F439" s="100"/>
      <c r="G439" s="108"/>
      <c r="H439" s="98"/>
      <c r="I439" s="47"/>
    </row>
    <row r="440" spans="1:9" ht="18" customHeight="1">
      <c r="A440" s="14"/>
      <c r="B440" s="110"/>
      <c r="C440" s="15"/>
      <c r="D440" s="111"/>
      <c r="E440" s="112"/>
      <c r="F440" s="105"/>
      <c r="G440" s="111"/>
      <c r="H440" s="103"/>
      <c r="I440" s="14"/>
    </row>
    <row r="441" spans="1:9" ht="18" customHeight="1">
      <c r="A441" s="47"/>
      <c r="B441" s="107"/>
      <c r="C441" s="88"/>
      <c r="D441" s="108"/>
      <c r="E441" s="109"/>
      <c r="F441" s="100"/>
      <c r="G441" s="108"/>
      <c r="H441" s="98"/>
      <c r="I441" s="47"/>
    </row>
    <row r="442" spans="1:9" ht="18" customHeight="1">
      <c r="A442" s="14"/>
      <c r="B442" s="110"/>
      <c r="C442" s="15"/>
      <c r="D442" s="111"/>
      <c r="E442" s="112"/>
      <c r="F442" s="105"/>
      <c r="G442" s="111"/>
      <c r="H442" s="103"/>
      <c r="I442" s="14"/>
    </row>
    <row r="443" spans="1:9" ht="18" customHeight="1">
      <c r="A443" s="47"/>
      <c r="B443" s="107"/>
      <c r="C443" s="88"/>
      <c r="D443" s="108"/>
      <c r="E443" s="109"/>
      <c r="F443" s="100"/>
      <c r="G443" s="108"/>
      <c r="H443" s="98"/>
      <c r="I443" s="47"/>
    </row>
    <row r="444" spans="1:9" ht="18" customHeight="1">
      <c r="A444" s="14"/>
      <c r="B444" s="110"/>
      <c r="C444" s="15"/>
      <c r="D444" s="111"/>
      <c r="E444" s="112"/>
      <c r="F444" s="105"/>
      <c r="G444" s="111"/>
      <c r="H444" s="103"/>
      <c r="I444" s="14"/>
    </row>
    <row r="445" spans="1:9" ht="18" customHeight="1">
      <c r="A445" s="47"/>
      <c r="B445" s="107"/>
      <c r="C445" s="88"/>
      <c r="D445" s="108"/>
      <c r="E445" s="109"/>
      <c r="F445" s="100"/>
      <c r="G445" s="108"/>
      <c r="H445" s="98"/>
      <c r="I445" s="47"/>
    </row>
    <row r="446" spans="1:9" ht="18" customHeight="1">
      <c r="A446" s="14"/>
      <c r="B446" s="110"/>
      <c r="C446" s="15"/>
      <c r="D446" s="111"/>
      <c r="E446" s="112"/>
      <c r="F446" s="105"/>
      <c r="G446" s="111"/>
      <c r="H446" s="103"/>
      <c r="I446" s="14"/>
    </row>
    <row r="447" spans="1:9" ht="18" customHeight="1">
      <c r="A447" s="47"/>
      <c r="B447" s="107"/>
      <c r="C447" s="88"/>
      <c r="D447" s="108"/>
      <c r="E447" s="109"/>
      <c r="F447" s="100"/>
      <c r="G447" s="108"/>
      <c r="H447" s="98"/>
      <c r="I447" s="47"/>
    </row>
    <row r="448" spans="1:9" ht="18" customHeight="1">
      <c r="A448" s="14"/>
      <c r="B448" s="110"/>
      <c r="C448" s="15"/>
      <c r="D448" s="111"/>
      <c r="E448" s="112"/>
      <c r="F448" s="105"/>
      <c r="G448" s="111"/>
      <c r="H448" s="103"/>
      <c r="I448" s="14"/>
    </row>
    <row r="449" spans="1:9" ht="18" customHeight="1">
      <c r="A449" s="47"/>
      <c r="B449" s="107"/>
      <c r="C449" s="88"/>
      <c r="D449" s="108"/>
      <c r="E449" s="109"/>
      <c r="F449" s="100"/>
      <c r="G449" s="108"/>
      <c r="H449" s="98"/>
      <c r="I449" s="47"/>
    </row>
    <row r="450" spans="1:9" ht="18" customHeight="1">
      <c r="A450" s="14"/>
      <c r="B450" s="110"/>
      <c r="C450" s="15"/>
      <c r="D450" s="111"/>
      <c r="E450" s="112"/>
      <c r="F450" s="105"/>
      <c r="G450" s="111"/>
      <c r="H450" s="103"/>
      <c r="I450" s="14"/>
    </row>
    <row r="451" spans="1:9" ht="18" customHeight="1">
      <c r="A451" s="47"/>
      <c r="B451" s="107"/>
      <c r="C451" s="88"/>
      <c r="D451" s="108"/>
      <c r="E451" s="109"/>
      <c r="F451" s="100"/>
      <c r="G451" s="108"/>
      <c r="H451" s="98"/>
      <c r="I451" s="47"/>
    </row>
    <row r="452" spans="1:9" ht="18" customHeight="1">
      <c r="A452" s="14"/>
      <c r="B452" s="110"/>
      <c r="C452" s="15"/>
      <c r="D452" s="111"/>
      <c r="E452" s="112"/>
      <c r="F452" s="105"/>
      <c r="G452" s="111"/>
      <c r="H452" s="103"/>
      <c r="I452" s="14"/>
    </row>
    <row r="453" spans="1:9" ht="18" customHeight="1">
      <c r="A453" s="47"/>
      <c r="B453" s="107"/>
      <c r="C453" s="88"/>
      <c r="D453" s="108"/>
      <c r="E453" s="109"/>
      <c r="F453" s="100"/>
      <c r="G453" s="108"/>
      <c r="H453" s="98"/>
      <c r="I453" s="47"/>
    </row>
    <row r="454" spans="1:9" ht="18" customHeight="1">
      <c r="A454" s="14"/>
      <c r="B454" s="110"/>
      <c r="C454" s="15"/>
      <c r="D454" s="111"/>
      <c r="E454" s="112"/>
      <c r="F454" s="105"/>
      <c r="G454" s="111"/>
      <c r="H454" s="103"/>
      <c r="I454" s="14"/>
    </row>
    <row r="455" spans="1:9" ht="18" customHeight="1">
      <c r="A455" s="47"/>
      <c r="B455" s="107"/>
      <c r="C455" s="88"/>
      <c r="D455" s="108"/>
      <c r="E455" s="109"/>
      <c r="F455" s="100"/>
      <c r="G455" s="108"/>
      <c r="H455" s="98"/>
      <c r="I455" s="47"/>
    </row>
    <row r="456" spans="1:9" ht="18" customHeight="1">
      <c r="A456" s="14"/>
      <c r="B456" s="110"/>
      <c r="C456" s="15"/>
      <c r="D456" s="111"/>
      <c r="E456" s="112"/>
      <c r="F456" s="105"/>
      <c r="G456" s="111"/>
      <c r="H456" s="103"/>
      <c r="I456" s="14"/>
    </row>
    <row r="457" spans="1:9" ht="18" customHeight="1">
      <c r="A457" s="47"/>
      <c r="B457" s="107"/>
      <c r="C457" s="88"/>
      <c r="D457" s="108"/>
      <c r="E457" s="109"/>
      <c r="F457" s="100"/>
      <c r="G457" s="108"/>
      <c r="H457" s="98"/>
      <c r="I457" s="47"/>
    </row>
    <row r="458" spans="1:9" ht="18" customHeight="1">
      <c r="A458" s="14"/>
      <c r="B458" s="110"/>
      <c r="C458" s="15"/>
      <c r="D458" s="111"/>
      <c r="E458" s="112"/>
      <c r="F458" s="105"/>
      <c r="G458" s="111"/>
      <c r="H458" s="103"/>
      <c r="I458" s="14"/>
    </row>
    <row r="459" spans="1:9" ht="18" customHeight="1">
      <c r="A459" s="47"/>
      <c r="B459" s="107"/>
      <c r="C459" s="88"/>
      <c r="D459" s="108"/>
      <c r="E459" s="109"/>
      <c r="F459" s="100"/>
      <c r="G459" s="108"/>
      <c r="H459" s="98"/>
      <c r="I459" s="47"/>
    </row>
    <row r="460" spans="1:9" ht="18" customHeight="1">
      <c r="A460" s="14"/>
      <c r="B460" s="110"/>
      <c r="C460" s="15"/>
      <c r="D460" s="111"/>
      <c r="E460" s="112"/>
      <c r="F460" s="105"/>
      <c r="G460" s="111"/>
      <c r="H460" s="103"/>
      <c r="I460" s="14"/>
    </row>
    <row r="461" spans="1:9" ht="18" customHeight="1">
      <c r="A461" s="47"/>
      <c r="B461" s="107"/>
      <c r="C461" s="88"/>
      <c r="D461" s="108"/>
      <c r="E461" s="109"/>
      <c r="F461" s="100"/>
      <c r="G461" s="108"/>
      <c r="H461" s="98"/>
      <c r="I461" s="47"/>
    </row>
    <row r="462" spans="1:9" ht="18" customHeight="1">
      <c r="A462" s="14"/>
      <c r="B462" s="110"/>
      <c r="C462" s="15"/>
      <c r="D462" s="111"/>
      <c r="E462" s="112"/>
      <c r="F462" s="105"/>
      <c r="G462" s="111"/>
      <c r="H462" s="103"/>
      <c r="I462" s="14"/>
    </row>
    <row r="463" spans="1:9" ht="18" customHeight="1">
      <c r="A463" s="47"/>
      <c r="B463" s="107"/>
      <c r="C463" s="88"/>
      <c r="D463" s="108"/>
      <c r="E463" s="109"/>
      <c r="F463" s="100"/>
      <c r="G463" s="108"/>
      <c r="H463" s="98"/>
      <c r="I463" s="47"/>
    </row>
    <row r="464" spans="1:9" ht="18" customHeight="1">
      <c r="A464" s="14"/>
      <c r="B464" s="110"/>
      <c r="C464" s="15"/>
      <c r="D464" s="111"/>
      <c r="E464" s="112"/>
      <c r="F464" s="105"/>
      <c r="G464" s="111"/>
      <c r="H464" s="103"/>
      <c r="I464" s="14"/>
    </row>
    <row r="465" spans="1:9" ht="18" customHeight="1">
      <c r="A465" s="47"/>
      <c r="B465" s="107"/>
      <c r="C465" s="88"/>
      <c r="D465" s="108"/>
      <c r="E465" s="109"/>
      <c r="F465" s="100"/>
      <c r="G465" s="108"/>
      <c r="H465" s="98"/>
      <c r="I465" s="47"/>
    </row>
    <row r="466" spans="1:9" ht="18" customHeight="1">
      <c r="A466" s="14"/>
      <c r="B466" s="110"/>
      <c r="C466" s="15"/>
      <c r="D466" s="111"/>
      <c r="E466" s="112"/>
      <c r="F466" s="105"/>
      <c r="G466" s="111"/>
      <c r="H466" s="103"/>
      <c r="I466" s="14"/>
    </row>
    <row r="467" spans="1:9" ht="18" customHeight="1">
      <c r="A467" s="47"/>
      <c r="B467" s="107"/>
      <c r="C467" s="88"/>
      <c r="D467" s="108"/>
      <c r="E467" s="109"/>
      <c r="F467" s="100"/>
      <c r="G467" s="108"/>
      <c r="H467" s="98"/>
      <c r="I467" s="47"/>
    </row>
    <row r="468" spans="1:9" ht="18" customHeight="1">
      <c r="A468" s="14"/>
      <c r="B468" s="110"/>
      <c r="C468" s="15"/>
      <c r="D468" s="111"/>
      <c r="E468" s="112"/>
      <c r="F468" s="105"/>
      <c r="G468" s="111"/>
      <c r="H468" s="103"/>
      <c r="I468" s="14"/>
    </row>
    <row r="469" spans="1:9" ht="18" customHeight="1">
      <c r="A469" s="47"/>
      <c r="B469" s="107"/>
      <c r="C469" s="88"/>
      <c r="D469" s="108"/>
      <c r="E469" s="109"/>
      <c r="F469" s="100"/>
      <c r="G469" s="108"/>
      <c r="H469" s="98"/>
      <c r="I469" s="47"/>
    </row>
    <row r="470" spans="1:9" ht="18" customHeight="1">
      <c r="A470" s="14"/>
      <c r="B470" s="110"/>
      <c r="C470" s="15"/>
      <c r="D470" s="111"/>
      <c r="E470" s="112"/>
      <c r="F470" s="105"/>
      <c r="G470" s="111"/>
      <c r="H470" s="103"/>
      <c r="I470" s="14"/>
    </row>
    <row r="471" spans="1:9" ht="18" customHeight="1">
      <c r="A471" s="47"/>
      <c r="B471" s="107"/>
      <c r="C471" s="88"/>
      <c r="D471" s="108"/>
      <c r="E471" s="109"/>
      <c r="F471" s="100"/>
      <c r="G471" s="108"/>
      <c r="H471" s="98"/>
      <c r="I471" s="47"/>
    </row>
    <row r="472" spans="1:9" ht="18" customHeight="1">
      <c r="A472" s="14"/>
      <c r="B472" s="110"/>
      <c r="C472" s="15"/>
      <c r="D472" s="111"/>
      <c r="E472" s="112"/>
      <c r="F472" s="105"/>
      <c r="G472" s="111"/>
      <c r="H472" s="103"/>
      <c r="I472" s="14"/>
    </row>
    <row r="473" spans="1:9" ht="18" customHeight="1">
      <c r="A473" s="47"/>
      <c r="B473" s="107"/>
      <c r="C473" s="88"/>
      <c r="D473" s="108"/>
      <c r="E473" s="109"/>
      <c r="F473" s="100"/>
      <c r="G473" s="108"/>
      <c r="H473" s="98"/>
      <c r="I473" s="47"/>
    </row>
    <row r="474" spans="1:9" ht="18" customHeight="1">
      <c r="A474" s="14"/>
      <c r="B474" s="110"/>
      <c r="C474" s="15"/>
      <c r="D474" s="111"/>
      <c r="E474" s="112"/>
      <c r="F474" s="105"/>
      <c r="G474" s="111"/>
      <c r="H474" s="103"/>
      <c r="I474" s="14"/>
    </row>
    <row r="475" spans="1:9" ht="18" customHeight="1">
      <c r="A475" s="47"/>
      <c r="B475" s="107"/>
      <c r="C475" s="88"/>
      <c r="D475" s="108"/>
      <c r="E475" s="109"/>
      <c r="F475" s="100"/>
      <c r="G475" s="108"/>
      <c r="H475" s="98"/>
      <c r="I475" s="47"/>
    </row>
    <row r="476" spans="1:9" ht="18" customHeight="1">
      <c r="A476" s="14"/>
      <c r="B476" s="110"/>
      <c r="C476" s="15"/>
      <c r="D476" s="111"/>
      <c r="E476" s="112"/>
      <c r="F476" s="105"/>
      <c r="G476" s="111"/>
      <c r="H476" s="103"/>
      <c r="I476" s="14"/>
    </row>
    <row r="477" spans="1:9" ht="18" customHeight="1">
      <c r="A477" s="47"/>
      <c r="B477" s="107"/>
      <c r="C477" s="88"/>
      <c r="D477" s="108"/>
      <c r="E477" s="109"/>
      <c r="F477" s="100"/>
      <c r="G477" s="108"/>
      <c r="H477" s="98"/>
      <c r="I477" s="47"/>
    </row>
    <row r="478" spans="1:9" ht="18" customHeight="1">
      <c r="A478" s="14"/>
      <c r="B478" s="110"/>
      <c r="C478" s="15"/>
      <c r="D478" s="111"/>
      <c r="E478" s="112"/>
      <c r="F478" s="105"/>
      <c r="G478" s="111"/>
      <c r="H478" s="103"/>
      <c r="I478" s="14"/>
    </row>
    <row r="479" spans="1:9" ht="18" customHeight="1">
      <c r="A479" s="47"/>
      <c r="B479" s="107"/>
      <c r="C479" s="88"/>
      <c r="D479" s="108"/>
      <c r="E479" s="109"/>
      <c r="F479" s="100"/>
      <c r="G479" s="108"/>
      <c r="H479" s="98"/>
      <c r="I479" s="47"/>
    </row>
    <row r="480" spans="1:9" ht="18" customHeight="1">
      <c r="A480" s="14"/>
      <c r="B480" s="110"/>
      <c r="C480" s="15"/>
      <c r="D480" s="111"/>
      <c r="E480" s="112"/>
      <c r="F480" s="105"/>
      <c r="G480" s="111"/>
      <c r="H480" s="103"/>
      <c r="I480" s="14"/>
    </row>
    <row r="481" spans="1:9" ht="18" customHeight="1">
      <c r="A481" s="47"/>
      <c r="B481" s="107"/>
      <c r="C481" s="88"/>
      <c r="D481" s="108"/>
      <c r="E481" s="109"/>
      <c r="F481" s="100"/>
      <c r="G481" s="108"/>
      <c r="H481" s="98"/>
      <c r="I481" s="47"/>
    </row>
    <row r="482" spans="1:9" ht="18" customHeight="1">
      <c r="A482" s="14"/>
      <c r="B482" s="110"/>
      <c r="C482" s="15"/>
      <c r="D482" s="111"/>
      <c r="E482" s="112"/>
      <c r="F482" s="105"/>
      <c r="G482" s="111"/>
      <c r="H482" s="103"/>
      <c r="I482" s="14"/>
    </row>
    <row r="483" spans="1:9" ht="18" customHeight="1">
      <c r="A483" s="47"/>
      <c r="B483" s="107"/>
      <c r="C483" s="88"/>
      <c r="D483" s="108"/>
      <c r="E483" s="109"/>
      <c r="F483" s="100"/>
      <c r="G483" s="108"/>
      <c r="H483" s="98"/>
      <c r="I483" s="47"/>
    </row>
    <row r="484" spans="1:9" ht="18" customHeight="1">
      <c r="A484" s="14"/>
      <c r="B484" s="110"/>
      <c r="C484" s="15"/>
      <c r="D484" s="111"/>
      <c r="E484" s="112"/>
      <c r="F484" s="105"/>
      <c r="G484" s="111"/>
      <c r="H484" s="103"/>
      <c r="I484" s="14"/>
    </row>
    <row r="485" spans="1:9" ht="18" customHeight="1">
      <c r="A485" s="47"/>
      <c r="B485" s="107"/>
      <c r="C485" s="88"/>
      <c r="D485" s="108"/>
      <c r="E485" s="109"/>
      <c r="F485" s="100"/>
      <c r="G485" s="108"/>
      <c r="H485" s="98"/>
      <c r="I485" s="47"/>
    </row>
    <row r="486" spans="1:9" ht="18" customHeight="1">
      <c r="A486" s="14"/>
      <c r="B486" s="110"/>
      <c r="C486" s="15"/>
      <c r="D486" s="111"/>
      <c r="E486" s="112"/>
      <c r="F486" s="105"/>
      <c r="G486" s="111"/>
      <c r="H486" s="103"/>
      <c r="I486" s="14"/>
    </row>
    <row r="487" spans="1:9" ht="18" customHeight="1">
      <c r="A487" s="47"/>
      <c r="B487" s="107"/>
      <c r="C487" s="88"/>
      <c r="D487" s="108"/>
      <c r="E487" s="109"/>
      <c r="F487" s="100"/>
      <c r="G487" s="108"/>
      <c r="H487" s="98"/>
      <c r="I487" s="47"/>
    </row>
    <row r="488" spans="1:9" ht="18" customHeight="1">
      <c r="A488" s="14"/>
      <c r="B488" s="110"/>
      <c r="C488" s="15"/>
      <c r="D488" s="111"/>
      <c r="E488" s="112"/>
      <c r="F488" s="105"/>
      <c r="G488" s="111"/>
      <c r="H488" s="103"/>
      <c r="I488" s="14"/>
    </row>
    <row r="489" spans="1:9" ht="18" customHeight="1">
      <c r="A489" s="47"/>
      <c r="B489" s="107"/>
      <c r="C489" s="88"/>
      <c r="D489" s="108"/>
      <c r="E489" s="109"/>
      <c r="F489" s="100"/>
      <c r="G489" s="108"/>
      <c r="H489" s="98"/>
      <c r="I489" s="47"/>
    </row>
    <row r="490" spans="1:9" ht="18" customHeight="1">
      <c r="A490" s="14"/>
      <c r="B490" s="110"/>
      <c r="C490" s="15"/>
      <c r="D490" s="111"/>
      <c r="E490" s="112"/>
      <c r="F490" s="105"/>
      <c r="G490" s="111"/>
      <c r="H490" s="103"/>
      <c r="I490" s="14"/>
    </row>
    <row r="491" spans="1:9" ht="18" customHeight="1">
      <c r="A491" s="47"/>
      <c r="B491" s="107"/>
      <c r="C491" s="88"/>
      <c r="D491" s="108"/>
      <c r="E491" s="109"/>
      <c r="F491" s="100"/>
      <c r="G491" s="108"/>
      <c r="H491" s="98"/>
      <c r="I491" s="47"/>
    </row>
    <row r="492" spans="1:9" ht="18" customHeight="1">
      <c r="A492" s="14"/>
      <c r="B492" s="110"/>
      <c r="C492" s="15"/>
      <c r="D492" s="111"/>
      <c r="E492" s="112"/>
      <c r="F492" s="105"/>
      <c r="G492" s="111"/>
      <c r="H492" s="103"/>
      <c r="I492" s="14"/>
    </row>
    <row r="493" spans="1:9" ht="18" customHeight="1">
      <c r="A493" s="47"/>
      <c r="B493" s="107"/>
      <c r="C493" s="88"/>
      <c r="D493" s="108"/>
      <c r="E493" s="109"/>
      <c r="F493" s="100"/>
      <c r="G493" s="108"/>
      <c r="H493" s="98"/>
      <c r="I493" s="47"/>
    </row>
    <row r="494" spans="1:9" ht="18" customHeight="1">
      <c r="A494" s="14"/>
      <c r="B494" s="110"/>
      <c r="C494" s="15"/>
      <c r="D494" s="111"/>
      <c r="E494" s="112"/>
      <c r="F494" s="105"/>
      <c r="G494" s="111"/>
      <c r="H494" s="103"/>
      <c r="I494" s="14"/>
    </row>
    <row r="495" spans="1:9" ht="18" customHeight="1">
      <c r="A495" s="47"/>
      <c r="B495" s="107"/>
      <c r="C495" s="88"/>
      <c r="D495" s="108"/>
      <c r="E495" s="109"/>
      <c r="F495" s="100"/>
      <c r="G495" s="108"/>
      <c r="H495" s="98"/>
      <c r="I495" s="47"/>
    </row>
    <row r="496" spans="1:9" ht="18" customHeight="1">
      <c r="A496" s="14"/>
      <c r="B496" s="110"/>
      <c r="C496" s="15"/>
      <c r="D496" s="111"/>
      <c r="E496" s="112"/>
      <c r="F496" s="105"/>
      <c r="G496" s="111"/>
      <c r="H496" s="103"/>
      <c r="I496" s="14"/>
    </row>
    <row r="497" spans="1:9" ht="18" customHeight="1">
      <c r="A497" s="47"/>
      <c r="B497" s="107"/>
      <c r="C497" s="88"/>
      <c r="D497" s="108"/>
      <c r="E497" s="109"/>
      <c r="F497" s="100"/>
      <c r="G497" s="108"/>
      <c r="H497" s="98"/>
      <c r="I497" s="47"/>
    </row>
    <row r="498" spans="1:9" ht="18" customHeight="1">
      <c r="A498" s="14"/>
      <c r="B498" s="110"/>
      <c r="C498" s="15"/>
      <c r="D498" s="111"/>
      <c r="E498" s="112"/>
      <c r="F498" s="105"/>
      <c r="G498" s="111"/>
      <c r="H498" s="103"/>
      <c r="I498" s="14"/>
    </row>
    <row r="499" spans="1:9" ht="18" customHeight="1">
      <c r="A499" s="47"/>
      <c r="B499" s="107"/>
      <c r="C499" s="88"/>
      <c r="D499" s="108"/>
      <c r="E499" s="109"/>
      <c r="F499" s="100"/>
      <c r="G499" s="108"/>
      <c r="H499" s="98"/>
      <c r="I499" s="47"/>
    </row>
    <row r="500" spans="1:9" ht="18" customHeight="1">
      <c r="A500" s="14"/>
      <c r="B500" s="110"/>
      <c r="C500" s="15"/>
      <c r="D500" s="111"/>
      <c r="E500" s="112"/>
      <c r="F500" s="105"/>
      <c r="G500" s="111"/>
      <c r="H500" s="103"/>
      <c r="I500" s="14"/>
    </row>
    <row r="501" spans="1:9" ht="18" customHeight="1">
      <c r="A501" s="47"/>
      <c r="B501" s="107"/>
      <c r="C501" s="88"/>
      <c r="D501" s="108"/>
      <c r="E501" s="109"/>
      <c r="F501" s="100"/>
      <c r="G501" s="108"/>
      <c r="H501" s="98"/>
      <c r="I501" s="47"/>
    </row>
    <row r="502" spans="1:9" ht="18" customHeight="1">
      <c r="A502" s="14"/>
      <c r="B502" s="110"/>
      <c r="C502" s="15"/>
      <c r="D502" s="111"/>
      <c r="E502" s="112"/>
      <c r="F502" s="105"/>
      <c r="G502" s="111"/>
      <c r="H502" s="103"/>
      <c r="I502" s="14"/>
    </row>
    <row r="503" spans="1:9" ht="18" customHeight="1">
      <c r="A503" s="47"/>
      <c r="B503" s="107"/>
      <c r="C503" s="88"/>
      <c r="D503" s="108"/>
      <c r="E503" s="109"/>
      <c r="F503" s="100"/>
      <c r="G503" s="108"/>
      <c r="H503" s="98"/>
      <c r="I503" s="47"/>
    </row>
    <row r="504" spans="1:9" ht="18" customHeight="1">
      <c r="A504" s="14"/>
      <c r="B504" s="110"/>
      <c r="C504" s="15"/>
      <c r="D504" s="111"/>
      <c r="E504" s="112"/>
      <c r="F504" s="105"/>
      <c r="G504" s="111"/>
      <c r="H504" s="103"/>
      <c r="I504" s="14"/>
    </row>
    <row r="505" spans="1:9" ht="18" customHeight="1">
      <c r="A505" s="47"/>
      <c r="B505" s="107"/>
      <c r="C505" s="88"/>
      <c r="D505" s="108"/>
      <c r="E505" s="109"/>
      <c r="F505" s="100"/>
      <c r="G505" s="108"/>
      <c r="H505" s="98"/>
      <c r="I505" s="47"/>
    </row>
    <row r="506" spans="1:9" ht="18" customHeight="1">
      <c r="A506" s="14"/>
      <c r="B506" s="110"/>
      <c r="C506" s="15"/>
      <c r="D506" s="111"/>
      <c r="E506" s="112"/>
      <c r="F506" s="105"/>
      <c r="G506" s="111"/>
      <c r="H506" s="103"/>
      <c r="I506" s="14"/>
    </row>
    <row r="507" spans="1:9" ht="18" customHeight="1">
      <c r="A507" s="47"/>
      <c r="B507" s="107"/>
      <c r="C507" s="88"/>
      <c r="D507" s="108"/>
      <c r="E507" s="109"/>
      <c r="F507" s="100"/>
      <c r="G507" s="108"/>
      <c r="H507" s="98"/>
      <c r="I507" s="47"/>
    </row>
    <row r="508" spans="1:9" ht="18" customHeight="1">
      <c r="A508" s="14"/>
      <c r="B508" s="110"/>
      <c r="C508" s="15"/>
      <c r="D508" s="111"/>
      <c r="E508" s="112"/>
      <c r="F508" s="105"/>
      <c r="G508" s="111"/>
      <c r="H508" s="103"/>
      <c r="I508" s="14"/>
    </row>
    <row r="509" spans="1:9" ht="18" customHeight="1">
      <c r="A509" s="47"/>
      <c r="B509" s="107"/>
      <c r="C509" s="88"/>
      <c r="D509" s="108"/>
      <c r="E509" s="109"/>
      <c r="F509" s="100"/>
      <c r="G509" s="108"/>
      <c r="H509" s="98"/>
      <c r="I509" s="47"/>
    </row>
    <row r="510" spans="1:9" ht="18" customHeight="1">
      <c r="A510" s="14"/>
      <c r="B510" s="110"/>
      <c r="C510" s="15"/>
      <c r="D510" s="111"/>
      <c r="E510" s="112"/>
      <c r="F510" s="105"/>
      <c r="G510" s="111"/>
      <c r="H510" s="103"/>
      <c r="I510" s="14"/>
    </row>
    <row r="511" spans="1:9" ht="18" customHeight="1">
      <c r="A511" s="47"/>
      <c r="B511" s="107"/>
      <c r="C511" s="88"/>
      <c r="D511" s="108"/>
      <c r="E511" s="109"/>
      <c r="F511" s="100"/>
      <c r="G511" s="108"/>
      <c r="H511" s="98"/>
      <c r="I511" s="47"/>
    </row>
    <row r="512" spans="1:9" ht="18" customHeight="1">
      <c r="A512" s="14"/>
      <c r="B512" s="110"/>
      <c r="C512" s="15"/>
      <c r="D512" s="111"/>
      <c r="E512" s="112"/>
      <c r="F512" s="105"/>
      <c r="G512" s="111"/>
      <c r="H512" s="103"/>
      <c r="I512" s="14"/>
    </row>
    <row r="513" spans="1:9" ht="18" customHeight="1">
      <c r="A513" s="47"/>
      <c r="B513" s="107"/>
      <c r="C513" s="88"/>
      <c r="D513" s="108"/>
      <c r="E513" s="109"/>
      <c r="F513" s="100"/>
      <c r="G513" s="108"/>
      <c r="H513" s="98"/>
      <c r="I513" s="47"/>
    </row>
    <row r="514" spans="1:9" ht="18" customHeight="1">
      <c r="A514" s="14"/>
      <c r="B514" s="110"/>
      <c r="C514" s="15"/>
      <c r="D514" s="111"/>
      <c r="E514" s="112"/>
      <c r="F514" s="105"/>
      <c r="G514" s="111"/>
      <c r="H514" s="103"/>
      <c r="I514" s="14"/>
    </row>
    <row r="515" spans="1:9" ht="19.5" customHeight="1">
      <c r="A515" s="4"/>
      <c r="B515" s="228" t="s">
        <v>147</v>
      </c>
      <c r="C515" s="228"/>
      <c r="D515" s="228"/>
      <c r="E515" s="228"/>
      <c r="F515" s="113">
        <f>SUMIF(E15:E514,"Entrada",F15:F514)</f>
        <v>429000</v>
      </c>
      <c r="G515" s="4"/>
      <c r="H515" s="4"/>
      <c r="I515" s="4"/>
    </row>
    <row r="516" spans="1:9" ht="19.5" customHeight="1">
      <c r="A516" s="4"/>
      <c r="B516" s="229" t="s">
        <v>148</v>
      </c>
      <c r="C516" s="229"/>
      <c r="D516" s="229"/>
      <c r="E516" s="229"/>
      <c r="F516" s="114">
        <f>SUMIF(E15:E514,"Saída",F15:F514)</f>
        <v>111572</v>
      </c>
      <c r="G516" s="4"/>
      <c r="H516" s="4"/>
      <c r="I516" s="4"/>
    </row>
    <row r="517" spans="1:9" ht="15" customHeight="1">
      <c r="A517" s="25"/>
      <c r="B517" s="25"/>
      <c r="C517" s="25"/>
      <c r="D517" s="25"/>
      <c r="E517" s="25"/>
      <c r="F517" s="25"/>
      <c r="G517" s="25"/>
      <c r="H517" s="25"/>
      <c r="I517" s="25"/>
    </row>
    <row r="518" spans="1:9" ht="15" customHeight="1">
      <c r="A518" s="25"/>
      <c r="B518" s="25"/>
      <c r="C518" s="25"/>
      <c r="D518" s="25"/>
      <c r="E518" s="25"/>
      <c r="F518" s="25"/>
      <c r="G518" s="25"/>
      <c r="H518" s="25"/>
      <c r="I518" s="25"/>
    </row>
    <row r="519" spans="1:9" ht="15" customHeight="1">
      <c r="A519" s="25"/>
      <c r="B519" s="25"/>
      <c r="C519" s="25"/>
      <c r="D519" s="25"/>
      <c r="E519" s="25"/>
      <c r="F519" s="25"/>
      <c r="G519" s="25"/>
      <c r="H519" s="25"/>
      <c r="I519" s="25"/>
    </row>
    <row r="520" spans="1:9" ht="15" customHeight="1">
      <c r="A520" s="25"/>
      <c r="B520" s="25"/>
      <c r="C520" s="25"/>
      <c r="D520" s="25"/>
      <c r="E520" s="25"/>
      <c r="F520" s="25"/>
      <c r="G520" s="25"/>
      <c r="H520" s="25"/>
      <c r="I520" s="25"/>
    </row>
    <row r="521" spans="1:9" ht="15" customHeight="1">
      <c r="A521" s="25"/>
      <c r="B521" s="25"/>
      <c r="C521" s="25"/>
      <c r="D521" s="25"/>
      <c r="E521" s="25"/>
      <c r="F521" s="25"/>
      <c r="G521" s="25"/>
      <c r="H521" s="25"/>
      <c r="I521" s="25"/>
    </row>
    <row r="522" spans="1:9" ht="15" customHeight="1">
      <c r="A522" s="25"/>
      <c r="B522" s="25"/>
      <c r="C522" s="25"/>
      <c r="D522" s="25"/>
      <c r="E522" s="25"/>
      <c r="F522" s="25"/>
      <c r="G522" s="25"/>
      <c r="H522" s="25"/>
      <c r="I522" s="25"/>
    </row>
    <row r="523" spans="1:9" ht="15" customHeight="1">
      <c r="A523" s="25"/>
      <c r="B523" s="25"/>
      <c r="C523" s="25"/>
      <c r="D523" s="25"/>
      <c r="E523" s="25"/>
      <c r="F523" s="25"/>
      <c r="G523" s="25"/>
      <c r="H523" s="25"/>
      <c r="I523" s="25"/>
    </row>
    <row r="524" spans="1:9" ht="15" customHeight="1">
      <c r="A524" s="25"/>
      <c r="B524" s="25"/>
      <c r="C524" s="25"/>
      <c r="D524" s="25"/>
      <c r="E524" s="25"/>
      <c r="F524" s="25"/>
      <c r="G524" s="25"/>
      <c r="H524" s="25"/>
      <c r="I524" s="25"/>
    </row>
  </sheetData>
  <mergeCells count="4">
    <mergeCell ref="B2:I2"/>
    <mergeCell ref="B4:I4"/>
    <mergeCell ref="B515:E515"/>
    <mergeCell ref="B516:E516"/>
  </mergeCells>
  <phoneticPr fontId="84"/>
  <conditionalFormatting sqref="E15:E514">
    <cfRule type="expression" dxfId="13" priority="2">
      <formula>E15="Entrada"</formula>
    </cfRule>
    <cfRule type="expression" dxfId="12" priority="3">
      <formula>E15="Saída"</formula>
    </cfRule>
  </conditionalFormatting>
  <conditionalFormatting sqref="F15:F514">
    <cfRule type="expression" dxfId="11" priority="4">
      <formula>$E15="Entrada"</formula>
    </cfRule>
    <cfRule type="expression" dxfId="10" priority="5">
      <formula>$E15="Saída"</formula>
    </cfRule>
  </conditionalFormatting>
  <dataValidations count="5">
    <dataValidation type="list" allowBlank="1" showErrorMessage="1" errorTitle="Inválido" error="Selecione Entrada ou Saída" sqref="E15:E514" xr:uid="{00000000-0002-0000-0200-000000000000}">
      <formula1>"Entrada,Saída"</formula1>
      <formula2>0</formula2>
    </dataValidation>
    <dataValidation type="list" allowBlank="1" showErrorMessage="1" errorTitle="Inválido" error="Selecione uma categoria" sqref="D15:D514" xr:uid="{00000000-0002-0000-0200-000001000000}">
      <formula1>"Salário,Hora Extra,Bônus,Arubaito/Extra,Reembolso,Outros,Aluguel,Luz,Água,Gás,Internet,Celular,Mercado,Konbini,Gasolina,Pedágio,Estacionamento,Manutenção do Carro,Shaken,Seguro do Carro,Imposto do Carro,Academia,Saúde,Remédios,Filhos,Escola/Creche,Lazer,R"</formula1>
      <formula2>0</formula2>
    </dataValidation>
    <dataValidation type="list" allowBlank="1" sqref="G6:G11 G15:G514" xr:uid="{00000000-0002-0000-0200-000002000000}">
      <formula1>"Dinheiro,Cartão de Crédito,Cartão de Débito,PayPay,Rakuten Pay,Line Pay,Transferência Bancária,Débito Automático,Outros"</formula1>
      <formula2>0</formula2>
    </dataValidation>
    <dataValidation type="list" allowBlank="1" sqref="E6:E11" xr:uid="{00000000-0002-0000-0200-000003000000}">
      <formula1>"Entrada,Saída"</formula1>
      <formula2>0</formula2>
    </dataValidation>
    <dataValidation type="list" allowBlank="1" sqref="D6:D11" xr:uid="{00000000-0002-0000-0200-000004000000}">
      <formula1>"Salário,Hora Extra,Bônus,Arubaito/Extra,Reembolso,Outros,Aluguel,Luz,Água,Gás,Internet,Celular,Mercado,Konbini,Gasolina,Pedágio,Estacionamento,Manutenção do Carro,Shaken,Seguro do Carro,Imposto do Carro,Academia,Saúde,Remédios,Filhos,Escola/Creche,Lazer,R"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3B341"/>
  </sheetPr>
  <dimension ref="A1:I54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F16" sqref="F16"/>
    </sheetView>
  </sheetViews>
  <sheetFormatPr defaultColWidth="8.6640625" defaultRowHeight="14.4"/>
  <cols>
    <col min="1" max="1" width="2" customWidth="1"/>
    <col min="2" max="2" width="28" customWidth="1"/>
    <col min="3" max="3" width="16" customWidth="1"/>
    <col min="4" max="4" width="12" customWidth="1"/>
    <col min="5" max="5" width="20" customWidth="1"/>
    <col min="6" max="6" width="14" customWidth="1"/>
    <col min="7" max="7" width="28" customWidth="1"/>
    <col min="8" max="8" width="16" customWidth="1"/>
  </cols>
  <sheetData>
    <row r="1" spans="1:9" ht="6" customHeight="1">
      <c r="A1" s="4"/>
      <c r="B1" s="4"/>
      <c r="C1" s="4"/>
      <c r="D1" s="4"/>
      <c r="E1" s="4"/>
      <c r="F1" s="4"/>
      <c r="G1" s="4"/>
      <c r="H1" s="25"/>
      <c r="I1" s="25"/>
    </row>
    <row r="2" spans="1:9" ht="25.5" customHeight="1">
      <c r="A2" s="4"/>
      <c r="B2" s="230" t="s">
        <v>149</v>
      </c>
      <c r="C2" s="230"/>
      <c r="D2" s="230"/>
      <c r="E2" s="230"/>
      <c r="F2" s="230"/>
      <c r="G2" s="230"/>
      <c r="H2" s="25"/>
      <c r="I2" s="25"/>
    </row>
    <row r="3" spans="1:9" ht="6" customHeight="1">
      <c r="A3" s="4"/>
      <c r="B3" s="4"/>
      <c r="C3" s="4"/>
      <c r="D3" s="4"/>
      <c r="E3" s="4"/>
      <c r="F3" s="4"/>
      <c r="G3" s="4"/>
      <c r="H3" s="25"/>
      <c r="I3" s="25"/>
    </row>
    <row r="4" spans="1:9" ht="19.5" customHeight="1">
      <c r="A4" s="25"/>
      <c r="B4" s="8" t="s">
        <v>150</v>
      </c>
      <c r="C4" s="8" t="s">
        <v>125</v>
      </c>
      <c r="D4" s="8" t="s">
        <v>151</v>
      </c>
      <c r="E4" s="8" t="s">
        <v>100</v>
      </c>
      <c r="F4" s="8" t="s">
        <v>152</v>
      </c>
      <c r="G4" s="8" t="s">
        <v>138</v>
      </c>
      <c r="H4" s="8" t="s">
        <v>153</v>
      </c>
      <c r="I4" s="25"/>
    </row>
    <row r="5" spans="1:9" ht="19.5" customHeight="1">
      <c r="A5" s="25"/>
      <c r="B5" s="88" t="s">
        <v>17</v>
      </c>
      <c r="C5" s="115">
        <v>30100</v>
      </c>
      <c r="D5" s="116" t="s">
        <v>154</v>
      </c>
      <c r="E5" s="117" t="s">
        <v>155</v>
      </c>
      <c r="F5" s="118" t="s">
        <v>253</v>
      </c>
      <c r="G5" s="98"/>
      <c r="H5" s="119">
        <f t="shared" ref="H5:H18" ca="1" si="0">IFERROR(IF(LEFT(D5,3)="Dia",IF(VALUE(MID(D5,5,2))-DAY(TODAY())&gt;=0,VALUE(MID(D5,5,2))-DAY(TODAY()),VALUE(MID(D5,5,2))-DAY(TODAY())+DAY(EOMONTH(TODAY(),0))),"-"),"-")</f>
        <v>4</v>
      </c>
      <c r="I5" s="25"/>
    </row>
    <row r="6" spans="1:9" ht="19.5" customHeight="1">
      <c r="A6" s="25"/>
      <c r="B6" s="15" t="s">
        <v>157</v>
      </c>
      <c r="C6" s="120">
        <v>0</v>
      </c>
      <c r="D6" s="121" t="s">
        <v>158</v>
      </c>
      <c r="E6" s="122" t="s">
        <v>159</v>
      </c>
      <c r="F6" s="123" t="s">
        <v>156</v>
      </c>
      <c r="G6" s="103"/>
      <c r="H6" s="124">
        <f t="shared" ca="1" si="0"/>
        <v>23</v>
      </c>
      <c r="I6" s="25"/>
    </row>
    <row r="7" spans="1:9" ht="19.5" customHeight="1">
      <c r="A7" s="25"/>
      <c r="B7" s="88" t="s">
        <v>160</v>
      </c>
      <c r="C7" s="115">
        <v>8581</v>
      </c>
      <c r="D7" s="116" t="s">
        <v>161</v>
      </c>
      <c r="E7" s="117" t="s">
        <v>159</v>
      </c>
      <c r="F7" s="118" t="s">
        <v>253</v>
      </c>
      <c r="G7" s="98"/>
      <c r="H7" s="119">
        <f t="shared" ca="1" si="0"/>
        <v>28</v>
      </c>
      <c r="I7" s="25"/>
    </row>
    <row r="8" spans="1:9" ht="19.5" customHeight="1">
      <c r="A8" s="25"/>
      <c r="B8" s="15" t="s">
        <v>162</v>
      </c>
      <c r="C8" s="120">
        <v>4800</v>
      </c>
      <c r="D8" s="121" t="s">
        <v>163</v>
      </c>
      <c r="E8" s="122" t="s">
        <v>159</v>
      </c>
      <c r="F8" s="123" t="s">
        <v>253</v>
      </c>
      <c r="G8" s="103"/>
      <c r="H8" s="124">
        <f t="shared" ca="1" si="0"/>
        <v>18</v>
      </c>
      <c r="I8" s="25"/>
    </row>
    <row r="9" spans="1:9" ht="19.5" customHeight="1">
      <c r="A9" s="25"/>
      <c r="B9" s="88" t="s">
        <v>164</v>
      </c>
      <c r="C9" s="115">
        <v>6000</v>
      </c>
      <c r="D9" s="116" t="s">
        <v>165</v>
      </c>
      <c r="E9" s="117" t="s">
        <v>166</v>
      </c>
      <c r="F9" s="118" t="s">
        <v>156</v>
      </c>
      <c r="G9" s="98"/>
      <c r="H9" s="119">
        <f t="shared" ca="1" si="0"/>
        <v>30</v>
      </c>
      <c r="I9" s="25"/>
    </row>
    <row r="10" spans="1:9" ht="19.5" customHeight="1">
      <c r="A10" s="25"/>
      <c r="B10" s="15" t="s">
        <v>167</v>
      </c>
      <c r="C10" s="120">
        <v>32412</v>
      </c>
      <c r="D10" s="121" t="s">
        <v>168</v>
      </c>
      <c r="E10" s="122" t="s">
        <v>166</v>
      </c>
      <c r="F10" s="123" t="s">
        <v>253</v>
      </c>
      <c r="G10" s="103"/>
      <c r="H10" s="124">
        <f t="shared" ca="1" si="0"/>
        <v>13</v>
      </c>
      <c r="I10" s="25"/>
    </row>
    <row r="11" spans="1:9" ht="19.5" customHeight="1">
      <c r="A11" s="25"/>
      <c r="B11" s="88" t="s">
        <v>23</v>
      </c>
      <c r="C11" s="115">
        <v>6000</v>
      </c>
      <c r="D11" s="116" t="s">
        <v>154</v>
      </c>
      <c r="E11" s="117" t="s">
        <v>119</v>
      </c>
      <c r="F11" s="118" t="s">
        <v>156</v>
      </c>
      <c r="G11" s="98"/>
      <c r="H11" s="119">
        <f t="shared" ca="1" si="0"/>
        <v>4</v>
      </c>
      <c r="I11" s="25"/>
    </row>
    <row r="12" spans="1:9" ht="19.5" customHeight="1">
      <c r="A12" s="25"/>
      <c r="B12" s="15" t="s">
        <v>24</v>
      </c>
      <c r="C12" s="120">
        <v>0</v>
      </c>
      <c r="D12" s="121" t="s">
        <v>154</v>
      </c>
      <c r="E12" s="122" t="s">
        <v>169</v>
      </c>
      <c r="F12" s="123" t="s">
        <v>156</v>
      </c>
      <c r="G12" s="103"/>
      <c r="H12" s="124">
        <f t="shared" ca="1" si="0"/>
        <v>4</v>
      </c>
      <c r="I12" s="25"/>
    </row>
    <row r="13" spans="1:9" ht="19.5" customHeight="1">
      <c r="A13" s="25"/>
      <c r="B13" s="88" t="s">
        <v>25</v>
      </c>
      <c r="C13" s="115">
        <v>16000</v>
      </c>
      <c r="D13" s="116" t="s">
        <v>163</v>
      </c>
      <c r="E13" s="117" t="s">
        <v>169</v>
      </c>
      <c r="F13" s="118" t="s">
        <v>156</v>
      </c>
      <c r="G13" s="98"/>
      <c r="H13" s="119">
        <f t="shared" ca="1" si="0"/>
        <v>18</v>
      </c>
      <c r="I13" s="25"/>
    </row>
    <row r="14" spans="1:9" ht="19.5" customHeight="1">
      <c r="A14" s="25"/>
      <c r="B14" s="15" t="s">
        <v>26</v>
      </c>
      <c r="C14" s="120">
        <v>1000</v>
      </c>
      <c r="D14" s="121" t="s">
        <v>170</v>
      </c>
      <c r="E14" s="122" t="s">
        <v>36</v>
      </c>
      <c r="F14" s="123" t="s">
        <v>156</v>
      </c>
      <c r="G14" s="103"/>
      <c r="H14" s="124">
        <f t="shared" ca="1" si="0"/>
        <v>21</v>
      </c>
      <c r="I14" s="25"/>
    </row>
    <row r="15" spans="1:9" ht="19.5" customHeight="1">
      <c r="A15" s="25"/>
      <c r="B15" s="88" t="s">
        <v>27</v>
      </c>
      <c r="C15" s="115">
        <v>0</v>
      </c>
      <c r="D15" s="116" t="s">
        <v>171</v>
      </c>
      <c r="E15" s="117" t="s">
        <v>36</v>
      </c>
      <c r="F15" s="118" t="s">
        <v>156</v>
      </c>
      <c r="G15" s="98"/>
      <c r="H15" s="119">
        <f t="shared" ca="1" si="0"/>
        <v>25</v>
      </c>
      <c r="I15" s="25"/>
    </row>
    <row r="16" spans="1:9" ht="19.5" customHeight="1">
      <c r="A16" s="25"/>
      <c r="B16" s="15" t="s">
        <v>28</v>
      </c>
      <c r="C16" s="120">
        <v>8000</v>
      </c>
      <c r="D16" s="121" t="s">
        <v>154</v>
      </c>
      <c r="E16" s="122" t="s">
        <v>172</v>
      </c>
      <c r="F16" s="123" t="s">
        <v>156</v>
      </c>
      <c r="G16" s="103" t="s">
        <v>173</v>
      </c>
      <c r="H16" s="124">
        <f t="shared" ca="1" si="0"/>
        <v>4</v>
      </c>
      <c r="I16" s="25"/>
    </row>
    <row r="17" spans="1:9" ht="19.5" customHeight="1">
      <c r="A17" s="25"/>
      <c r="B17" s="88" t="s">
        <v>29</v>
      </c>
      <c r="C17" s="115">
        <v>43160</v>
      </c>
      <c r="D17" s="116" t="s">
        <v>161</v>
      </c>
      <c r="E17" s="117" t="s">
        <v>29</v>
      </c>
      <c r="F17" s="118" t="s">
        <v>253</v>
      </c>
      <c r="G17" s="98"/>
      <c r="H17" s="119">
        <f t="shared" ca="1" si="0"/>
        <v>28</v>
      </c>
      <c r="I17" s="25"/>
    </row>
    <row r="18" spans="1:9" ht="19.5" customHeight="1">
      <c r="A18" s="25"/>
      <c r="B18" s="15" t="s">
        <v>120</v>
      </c>
      <c r="C18" s="120">
        <v>7000</v>
      </c>
      <c r="D18" s="121" t="s">
        <v>174</v>
      </c>
      <c r="E18" s="122" t="s">
        <v>120</v>
      </c>
      <c r="F18" s="123" t="s">
        <v>253</v>
      </c>
      <c r="G18" s="103"/>
      <c r="H18" s="124" t="str">
        <f t="shared" ca="1" si="0"/>
        <v>-</v>
      </c>
      <c r="I18" s="25"/>
    </row>
    <row r="19" spans="1:9" ht="15" customHeight="1">
      <c r="A19" s="25"/>
      <c r="B19" s="25"/>
      <c r="C19" s="25"/>
      <c r="D19" s="25"/>
      <c r="E19" s="25"/>
      <c r="F19" s="25"/>
      <c r="G19" s="25"/>
      <c r="H19" s="25"/>
      <c r="I19" s="25"/>
    </row>
    <row r="20" spans="1:9" ht="9.75" customHeight="1">
      <c r="A20" s="25"/>
      <c r="B20" s="25"/>
      <c r="C20" s="25"/>
      <c r="D20" s="25"/>
      <c r="E20" s="25"/>
      <c r="F20" s="25"/>
      <c r="G20" s="25"/>
      <c r="H20" s="25"/>
      <c r="I20" s="25"/>
    </row>
    <row r="21" spans="1:9" ht="18" customHeight="1">
      <c r="A21" s="25"/>
      <c r="B21" s="212" t="s">
        <v>175</v>
      </c>
      <c r="C21" s="212"/>
      <c r="D21" s="212"/>
      <c r="E21" s="212"/>
      <c r="F21" s="212"/>
      <c r="G21" s="212"/>
      <c r="H21" s="25"/>
      <c r="I21" s="25"/>
    </row>
    <row r="22" spans="1:9" ht="7.5" customHeight="1">
      <c r="A22" s="25"/>
      <c r="B22" s="47"/>
      <c r="C22" s="47"/>
      <c r="D22" s="47"/>
      <c r="E22" s="47"/>
      <c r="F22" s="47"/>
      <c r="G22" s="47"/>
      <c r="H22" s="25"/>
      <c r="I22" s="25"/>
    </row>
    <row r="23" spans="1:9" ht="25.5" customHeight="1">
      <c r="A23" s="25"/>
      <c r="B23" s="1" t="s">
        <v>176</v>
      </c>
      <c r="C23" s="231">
        <f>SUM(C5:C18)</f>
        <v>163053</v>
      </c>
      <c r="D23" s="231"/>
      <c r="E23" s="1" t="s">
        <v>177</v>
      </c>
      <c r="F23" s="125" t="str">
        <f>COUNTIF(F5:F18,"Pago")&amp;" de "&amp;COUNTA(B5:B18)</f>
        <v>6 de 14</v>
      </c>
      <c r="G23" s="47"/>
      <c r="H23" s="25"/>
      <c r="I23" s="25"/>
    </row>
    <row r="24" spans="1:9" ht="24" customHeight="1">
      <c r="A24" s="25"/>
      <c r="B24" s="1" t="s">
        <v>178</v>
      </c>
      <c r="C24" s="232">
        <f>SUMIF(F5:F18,"Pago",C5:C18)</f>
        <v>126053</v>
      </c>
      <c r="D24" s="232"/>
      <c r="E24" s="1" t="s">
        <v>179</v>
      </c>
      <c r="F24" s="126">
        <f>SUMIF(F5:F18,"Pendente",C5:C18)</f>
        <v>37000</v>
      </c>
      <c r="G24" s="47"/>
      <c r="H24" s="25"/>
      <c r="I24" s="25"/>
    </row>
    <row r="25" spans="1:9" ht="24" customHeight="1">
      <c r="A25" s="25"/>
      <c r="B25" s="1" t="s">
        <v>180</v>
      </c>
      <c r="C25" s="233">
        <f>SUMIF(F5:F18,"Atrasado",C5:C18)</f>
        <v>0</v>
      </c>
      <c r="D25" s="233"/>
      <c r="E25" s="1" t="s">
        <v>181</v>
      </c>
      <c r="F25" s="127">
        <f>IFERROR(SUMIF(F5:F18,"Pago",C5:C18)/SUM(C5:C18),0)</f>
        <v>0.77307991879940874</v>
      </c>
      <c r="G25" s="47"/>
      <c r="H25" s="25"/>
      <c r="I25" s="25"/>
    </row>
    <row r="26" spans="1:9" ht="7.5" customHeight="1">
      <c r="A26" s="25"/>
      <c r="B26" s="47"/>
      <c r="C26" s="47"/>
      <c r="D26" s="47"/>
      <c r="E26" s="47"/>
      <c r="F26" s="47"/>
      <c r="G26" s="47"/>
      <c r="H26" s="25"/>
      <c r="I26" s="25"/>
    </row>
    <row r="27" spans="1:9" ht="13.5" customHeight="1">
      <c r="A27" s="25"/>
      <c r="B27" s="128" t="s">
        <v>182</v>
      </c>
      <c r="C27" s="25"/>
      <c r="D27" s="25"/>
      <c r="E27" s="25"/>
      <c r="F27" s="25"/>
      <c r="G27" s="25"/>
      <c r="H27" s="25"/>
      <c r="I27" s="25"/>
    </row>
    <row r="28" spans="1:9" ht="15" customHeight="1">
      <c r="A28" s="25"/>
      <c r="B28" s="25"/>
      <c r="C28" s="25"/>
      <c r="D28" s="25"/>
      <c r="E28" s="25"/>
      <c r="F28" s="25"/>
      <c r="G28" s="25"/>
      <c r="H28" s="25"/>
      <c r="I28" s="25"/>
    </row>
    <row r="29" spans="1:9" ht="15" customHeight="1">
      <c r="A29" s="25"/>
      <c r="B29" s="25"/>
      <c r="C29" s="25"/>
      <c r="D29" s="25"/>
      <c r="E29" s="25"/>
      <c r="F29" s="25"/>
      <c r="G29" s="25"/>
      <c r="H29" s="25"/>
      <c r="I29" s="25"/>
    </row>
    <row r="30" spans="1:9" ht="15" customHeight="1">
      <c r="A30" s="25"/>
      <c r="B30" s="25"/>
      <c r="C30" s="25"/>
      <c r="D30" s="25"/>
      <c r="E30" s="25"/>
      <c r="F30" s="25"/>
      <c r="G30" s="25"/>
      <c r="H30" s="25"/>
      <c r="I30" s="25"/>
    </row>
    <row r="31" spans="1:9" ht="15" customHeight="1">
      <c r="A31" s="25"/>
      <c r="B31" s="25"/>
      <c r="C31" s="25"/>
      <c r="D31" s="25"/>
      <c r="E31" s="25"/>
      <c r="F31" s="25"/>
      <c r="G31" s="25"/>
      <c r="H31" s="25"/>
      <c r="I31" s="25"/>
    </row>
    <row r="32" spans="1:9" ht="15" customHeight="1">
      <c r="A32" s="25"/>
      <c r="B32" s="25"/>
      <c r="C32" s="25"/>
      <c r="D32" s="25"/>
      <c r="E32" s="25"/>
      <c r="F32" s="25"/>
      <c r="G32" s="25"/>
      <c r="H32" s="25"/>
      <c r="I32" s="25"/>
    </row>
    <row r="33" spans="1:9" ht="15" customHeight="1">
      <c r="A33" s="25"/>
      <c r="B33" s="25"/>
      <c r="C33" s="25"/>
      <c r="D33" s="25"/>
      <c r="E33" s="25"/>
      <c r="F33" s="25"/>
      <c r="G33" s="25"/>
      <c r="H33" s="25"/>
      <c r="I33" s="25"/>
    </row>
    <row r="34" spans="1:9" ht="15" customHeight="1">
      <c r="A34" s="25"/>
      <c r="B34" s="25"/>
      <c r="C34" s="25"/>
      <c r="D34" s="25"/>
      <c r="E34" s="25"/>
      <c r="F34" s="25"/>
      <c r="G34" s="25"/>
      <c r="H34" s="25"/>
      <c r="I34" s="25"/>
    </row>
    <row r="35" spans="1:9" ht="15" customHeight="1">
      <c r="A35" s="25"/>
      <c r="B35" s="25"/>
      <c r="C35" s="25"/>
      <c r="D35" s="25"/>
      <c r="E35" s="25"/>
      <c r="F35" s="25"/>
      <c r="G35" s="25"/>
      <c r="H35" s="25"/>
      <c r="I35" s="25"/>
    </row>
    <row r="36" spans="1:9" ht="15" customHeight="1">
      <c r="A36" s="25"/>
      <c r="B36" s="25"/>
      <c r="C36" s="25"/>
      <c r="D36" s="25"/>
      <c r="E36" s="25"/>
      <c r="F36" s="25"/>
      <c r="G36" s="25"/>
      <c r="H36" s="25"/>
      <c r="I36" s="25"/>
    </row>
    <row r="37" spans="1:9" ht="15" customHeight="1">
      <c r="A37" s="25"/>
      <c r="B37" s="25"/>
      <c r="C37" s="25"/>
      <c r="D37" s="25"/>
      <c r="E37" s="25"/>
      <c r="F37" s="25"/>
      <c r="G37" s="25"/>
      <c r="H37" s="25"/>
      <c r="I37" s="25"/>
    </row>
    <row r="38" spans="1:9" ht="15" customHeight="1">
      <c r="A38" s="25"/>
      <c r="B38" s="25"/>
      <c r="C38" s="25"/>
      <c r="D38" s="25"/>
      <c r="E38" s="25"/>
      <c r="F38" s="25"/>
      <c r="G38" s="25"/>
      <c r="H38" s="25"/>
      <c r="I38" s="25"/>
    </row>
    <row r="39" spans="1:9" ht="15" customHeight="1">
      <c r="A39" s="25"/>
      <c r="B39" s="25"/>
      <c r="C39" s="25"/>
      <c r="D39" s="25"/>
      <c r="E39" s="25"/>
      <c r="F39" s="25"/>
      <c r="G39" s="25"/>
      <c r="H39" s="25"/>
      <c r="I39" s="25"/>
    </row>
    <row r="40" spans="1:9" ht="15" customHeight="1">
      <c r="A40" s="25"/>
      <c r="B40" s="25"/>
      <c r="C40" s="25"/>
      <c r="D40" s="25"/>
      <c r="E40" s="25"/>
      <c r="F40" s="25"/>
      <c r="G40" s="25"/>
      <c r="H40" s="25"/>
      <c r="I40" s="25"/>
    </row>
    <row r="41" spans="1:9" ht="15" customHeight="1">
      <c r="A41" s="25"/>
      <c r="B41" s="25"/>
      <c r="C41" s="25"/>
      <c r="D41" s="25"/>
      <c r="E41" s="25"/>
      <c r="F41" s="25"/>
      <c r="G41" s="25"/>
      <c r="H41" s="25"/>
      <c r="I41" s="25"/>
    </row>
    <row r="42" spans="1:9" ht="15" customHeight="1">
      <c r="A42" s="25"/>
      <c r="B42" s="25"/>
      <c r="C42" s="25"/>
      <c r="D42" s="25"/>
      <c r="E42" s="25"/>
      <c r="F42" s="25"/>
      <c r="G42" s="25"/>
      <c r="H42" s="25"/>
      <c r="I42" s="25"/>
    </row>
    <row r="43" spans="1:9" ht="15" customHeight="1">
      <c r="A43" s="25"/>
      <c r="B43" s="25"/>
      <c r="C43" s="25"/>
      <c r="D43" s="25"/>
      <c r="E43" s="25"/>
      <c r="F43" s="25"/>
      <c r="G43" s="25"/>
      <c r="H43" s="25"/>
      <c r="I43" s="25"/>
    </row>
    <row r="44" spans="1:9" ht="15" customHeight="1">
      <c r="A44" s="25"/>
      <c r="B44" s="25"/>
      <c r="C44" s="25"/>
      <c r="D44" s="25"/>
      <c r="E44" s="25"/>
      <c r="F44" s="25"/>
      <c r="G44" s="25"/>
      <c r="H44" s="25"/>
      <c r="I44" s="25"/>
    </row>
    <row r="45" spans="1:9" ht="15" customHeight="1">
      <c r="A45" s="25"/>
      <c r="B45" s="25"/>
      <c r="C45" s="25"/>
      <c r="D45" s="25"/>
      <c r="E45" s="25"/>
      <c r="F45" s="25"/>
      <c r="G45" s="25"/>
      <c r="H45" s="25"/>
      <c r="I45" s="25"/>
    </row>
    <row r="46" spans="1:9" ht="15" customHeight="1">
      <c r="A46" s="25"/>
      <c r="B46" s="25"/>
      <c r="C46" s="25"/>
      <c r="D46" s="25"/>
      <c r="E46" s="25"/>
      <c r="F46" s="25"/>
      <c r="G46" s="25"/>
      <c r="H46" s="25"/>
      <c r="I46" s="25"/>
    </row>
    <row r="47" spans="1:9" ht="15" customHeight="1">
      <c r="A47" s="25"/>
      <c r="B47" s="25"/>
      <c r="C47" s="25"/>
      <c r="D47" s="25"/>
      <c r="E47" s="25"/>
      <c r="F47" s="25"/>
      <c r="G47" s="25"/>
      <c r="H47" s="25"/>
      <c r="I47" s="25"/>
    </row>
    <row r="48" spans="1:9" ht="15" customHeight="1">
      <c r="A48" s="25"/>
      <c r="B48" s="25"/>
      <c r="C48" s="25"/>
      <c r="D48" s="25"/>
      <c r="E48" s="25"/>
      <c r="F48" s="25"/>
      <c r="G48" s="25"/>
      <c r="H48" s="25"/>
      <c r="I48" s="25"/>
    </row>
    <row r="49" spans="1:9" ht="15" customHeight="1">
      <c r="A49" s="25"/>
      <c r="B49" s="25"/>
      <c r="C49" s="25"/>
      <c r="D49" s="25"/>
      <c r="E49" s="25"/>
      <c r="F49" s="25"/>
      <c r="G49" s="25"/>
      <c r="H49" s="25"/>
      <c r="I49" s="25"/>
    </row>
    <row r="50" spans="1:9" ht="15" customHeight="1">
      <c r="A50" s="25"/>
      <c r="B50" s="25"/>
      <c r="C50" s="25"/>
      <c r="D50" s="25"/>
      <c r="E50" s="25"/>
      <c r="F50" s="25"/>
      <c r="G50" s="25"/>
      <c r="H50" s="25"/>
      <c r="I50" s="25"/>
    </row>
    <row r="51" spans="1:9" ht="15" customHeight="1">
      <c r="A51" s="25"/>
      <c r="B51" s="25"/>
      <c r="C51" s="25"/>
      <c r="D51" s="25"/>
      <c r="E51" s="25"/>
      <c r="F51" s="25"/>
      <c r="G51" s="25"/>
      <c r="H51" s="25"/>
      <c r="I51" s="25"/>
    </row>
    <row r="52" spans="1:9" ht="15" customHeight="1">
      <c r="A52" s="25"/>
      <c r="B52" s="25"/>
      <c r="C52" s="25"/>
      <c r="D52" s="25"/>
      <c r="E52" s="25"/>
      <c r="F52" s="25"/>
      <c r="G52" s="25"/>
      <c r="H52" s="25"/>
      <c r="I52" s="25"/>
    </row>
    <row r="53" spans="1:9" ht="15" customHeight="1">
      <c r="A53" s="25"/>
      <c r="B53" s="25"/>
      <c r="C53" s="25"/>
      <c r="D53" s="25"/>
      <c r="E53" s="25"/>
      <c r="F53" s="25"/>
      <c r="G53" s="25"/>
      <c r="H53" s="25"/>
      <c r="I53" s="25"/>
    </row>
    <row r="54" spans="1:9" ht="15" customHeight="1">
      <c r="A54" s="25"/>
      <c r="B54" s="25"/>
      <c r="C54" s="25"/>
      <c r="D54" s="25"/>
      <c r="E54" s="25"/>
      <c r="F54" s="25"/>
      <c r="G54" s="25"/>
      <c r="H54" s="25"/>
      <c r="I54" s="25"/>
    </row>
  </sheetData>
  <mergeCells count="5">
    <mergeCell ref="B2:G2"/>
    <mergeCell ref="B21:G21"/>
    <mergeCell ref="C23:D23"/>
    <mergeCell ref="C24:D24"/>
    <mergeCell ref="C25:D25"/>
  </mergeCells>
  <phoneticPr fontId="84"/>
  <conditionalFormatting sqref="F5:F34">
    <cfRule type="expression" dxfId="9" priority="2">
      <formula>F5="Pago"</formula>
    </cfRule>
    <cfRule type="expression" dxfId="8" priority="3">
      <formula>F5="Pendente"</formula>
    </cfRule>
    <cfRule type="expression" dxfId="7" priority="4">
      <formula>F5="Atrasado"</formula>
    </cfRule>
  </conditionalFormatting>
  <conditionalFormatting sqref="H5:H18">
    <cfRule type="expression" dxfId="6" priority="5">
      <formula>AND(ISNUMBER(H5),H5&lt;=0)</formula>
    </cfRule>
    <cfRule type="expression" dxfId="5" priority="6">
      <formula>AND(ISNUMBER(H5),H5&gt;0,H5&lt;=5)</formula>
    </cfRule>
    <cfRule type="expression" dxfId="4" priority="7">
      <formula>AND(ISNUMBER(H5),H5&lt;=3)</formula>
    </cfRule>
    <cfRule type="expression" dxfId="3" priority="8">
      <formula>AND(ISNUMBER(H5),H5&lt;=7,H5&gt;3)</formula>
    </cfRule>
  </conditionalFormatting>
  <dataValidations count="2">
    <dataValidation type="list" allowBlank="1" showErrorMessage="1" errorTitle="Valor inválido" error="Selecione uma opção válida" sqref="F5:F34" xr:uid="{00000000-0002-0000-0300-000000000000}">
      <formula1>"Pago,Pendente,Vence Hoje,Atrasado"</formula1>
      <formula2>0</formula2>
    </dataValidation>
    <dataValidation type="list" allowBlank="1" showErrorMessage="1" errorTitle="Valor inválido" error="Selecione uma opção válida" sqref="E5:E34" xr:uid="{00000000-0002-0000-0300-000001000000}">
      <formula1>"Moradia,Utilities,Comunicação,Transporte,Saúde,Educação,Lazer,Seguros,Financiamento,Outros"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F81F7"/>
  </sheetPr>
  <dimension ref="A1:I60"/>
  <sheetViews>
    <sheetView showGridLines="0" zoomScaleNormal="100" workbookViewId="0">
      <pane xSplit="1" ySplit="4" topLeftCell="B38" activePane="bottomRight" state="frozen"/>
      <selection pane="topRight" activeCell="B1" sqref="B1"/>
      <selection pane="bottomLeft" activeCell="A5" sqref="A5"/>
      <selection pane="bottomRight" activeCell="B56" sqref="B56:C56"/>
    </sheetView>
  </sheetViews>
  <sheetFormatPr defaultColWidth="8.6640625" defaultRowHeight="14.4"/>
  <cols>
    <col min="1" max="1" width="2" customWidth="1"/>
    <col min="2" max="2" width="20" customWidth="1"/>
    <col min="3" max="3" width="12" customWidth="1"/>
    <col min="4" max="6" width="18" customWidth="1"/>
    <col min="7" max="7" width="14" customWidth="1"/>
    <col min="8" max="8" width="10" customWidth="1"/>
  </cols>
  <sheetData>
    <row r="1" spans="1:9" ht="6" customHeight="1">
      <c r="A1" s="4"/>
      <c r="B1" s="4"/>
      <c r="C1" s="4"/>
      <c r="D1" s="4"/>
      <c r="E1" s="4"/>
      <c r="F1" s="4"/>
      <c r="G1" s="4"/>
      <c r="H1" s="4"/>
      <c r="I1" s="25"/>
    </row>
    <row r="2" spans="1:9" ht="25.5" customHeight="1">
      <c r="A2" s="4"/>
      <c r="B2" s="253" t="s">
        <v>183</v>
      </c>
      <c r="C2" s="253"/>
      <c r="D2" s="253"/>
      <c r="E2" s="253"/>
      <c r="F2" s="254" t="s">
        <v>184</v>
      </c>
      <c r="G2" s="254"/>
      <c r="H2" s="254"/>
      <c r="I2" s="25"/>
    </row>
    <row r="3" spans="1:9" ht="6" customHeight="1">
      <c r="A3" s="4"/>
      <c r="B3" s="4"/>
      <c r="C3" s="4"/>
      <c r="D3" s="4"/>
      <c r="E3" s="4"/>
      <c r="F3" s="4"/>
      <c r="G3" s="4"/>
      <c r="H3" s="4"/>
      <c r="I3" s="25"/>
    </row>
    <row r="4" spans="1:9" ht="18" customHeight="1">
      <c r="A4" s="25"/>
      <c r="B4" s="8" t="s">
        <v>3</v>
      </c>
      <c r="C4" s="8"/>
      <c r="D4" s="8" t="s">
        <v>185</v>
      </c>
      <c r="E4" s="8" t="s">
        <v>186</v>
      </c>
      <c r="F4" s="8" t="s">
        <v>187</v>
      </c>
      <c r="G4" s="8" t="s">
        <v>152</v>
      </c>
      <c r="H4" s="8" t="s">
        <v>49</v>
      </c>
      <c r="I4" s="25"/>
    </row>
    <row r="5" spans="1:9" ht="15.75" customHeight="1">
      <c r="A5" s="4"/>
      <c r="B5" s="255" t="s">
        <v>188</v>
      </c>
      <c r="C5" s="255"/>
      <c r="D5" s="255"/>
      <c r="E5" s="255"/>
      <c r="F5" s="255"/>
      <c r="G5" s="255"/>
      <c r="H5" s="255"/>
      <c r="I5" s="25"/>
    </row>
    <row r="6" spans="1:9" ht="21.75" customHeight="1">
      <c r="A6" s="25"/>
      <c r="B6" s="249" t="s">
        <v>7</v>
      </c>
      <c r="C6" s="249"/>
      <c r="D6" s="129">
        <v>285000</v>
      </c>
      <c r="E6" s="130">
        <f>SUMIFS('📋 Movimentações'!$F$15:$F$514,'📋 Movimentações'!$B$15:$B$514,"&gt;="&amp;'📊 Dashboard'!$P$71,'📋 Movimentações'!$B$15:$B$514,"&lt;="&amp;'📊 Dashboard'!$Q$71,'📋 Movimentações'!$E$15:$E$514,"Entrada",'📋 Movimentações'!$D$15:$D$514,"Salário")</f>
        <v>374000</v>
      </c>
      <c r="F6" s="131">
        <f t="shared" ref="F6:F11" si="0">E6-D6</f>
        <v>89000</v>
      </c>
      <c r="G6" s="132" t="str">
        <f>IF(E6=0,"—",IF(E6&gt;=D6,"✅ OK","⚠️ Atenção"))</f>
        <v>✅ OK</v>
      </c>
      <c r="H6" s="133">
        <f t="shared" ref="H6:H11" si="1">IFERROR(E6/D6,0)</f>
        <v>1.312280701754386</v>
      </c>
      <c r="I6" s="25"/>
    </row>
    <row r="7" spans="1:9" ht="21.75" customHeight="1">
      <c r="A7" s="25"/>
      <c r="B7" s="250" t="s">
        <v>10</v>
      </c>
      <c r="C7" s="250"/>
      <c r="D7" s="129">
        <v>20000</v>
      </c>
      <c r="E7" s="17">
        <f>SUMIFS('📋 Movimentações'!$F$15:$F$514,'📋 Movimentações'!$B$15:$B$514,"&gt;="&amp;'📊 Dashboard'!$P$71,'📋 Movimentações'!$B$15:$B$514,"&lt;="&amp;'📊 Dashboard'!$Q$71,'📋 Movimentações'!$E$15:$E$514,"Entrada",'📋 Movimentações'!$D$15:$D$514,"Hora Extra")</f>
        <v>0</v>
      </c>
      <c r="F7" s="134">
        <f t="shared" si="0"/>
        <v>-20000</v>
      </c>
      <c r="G7" s="135" t="str">
        <f>IF(E7=0,"—",IF(E7&gt;=D7,"✅ OK","⚠️ Atenção"))</f>
        <v>—</v>
      </c>
      <c r="H7" s="136">
        <f t="shared" si="1"/>
        <v>0</v>
      </c>
      <c r="I7" s="25"/>
    </row>
    <row r="8" spans="1:9" ht="21.75" customHeight="1">
      <c r="A8" s="25"/>
      <c r="B8" s="249" t="s">
        <v>11</v>
      </c>
      <c r="C8" s="249"/>
      <c r="D8" s="129">
        <v>0</v>
      </c>
      <c r="E8" s="130">
        <f>SUMIFS('📋 Movimentações'!$F$15:$F$514,'📋 Movimentações'!$B$15:$B$514,"&gt;="&amp;'📊 Dashboard'!$P$71,'📋 Movimentações'!$B$15:$B$514,"&lt;="&amp;'📊 Dashboard'!$Q$71,'📋 Movimentações'!$E$15:$E$514,"Entrada",'📋 Movimentações'!$D$15:$D$514,"Bônus")</f>
        <v>55000</v>
      </c>
      <c r="F8" s="131">
        <f t="shared" si="0"/>
        <v>55000</v>
      </c>
      <c r="G8" s="132" t="str">
        <f>IF(E8=0,"—",IF(E8&gt;=D8,"✅ OK","⚠️ Atenção"))</f>
        <v>✅ OK</v>
      </c>
      <c r="H8" s="133">
        <f t="shared" si="1"/>
        <v>0</v>
      </c>
      <c r="I8" s="25"/>
    </row>
    <row r="9" spans="1:9" ht="21.75" customHeight="1">
      <c r="A9" s="25"/>
      <c r="B9" s="250" t="s">
        <v>189</v>
      </c>
      <c r="C9" s="250"/>
      <c r="D9" s="129">
        <v>0</v>
      </c>
      <c r="E9" s="17">
        <f>SUMIFS('📋 Movimentações'!$F$15:$F$514,'📋 Movimentações'!$B$15:$B$514,"&gt;="&amp;'📊 Dashboard'!$P$71,'📋 Movimentações'!$B$15:$B$514,"&lt;="&amp;'📊 Dashboard'!$Q$71,'📋 Movimentações'!$E$15:$E$514,"Entrada",'📋 Movimentações'!$D$15:$D$514,"Arubaito/Extra")</f>
        <v>0</v>
      </c>
      <c r="F9" s="134">
        <f t="shared" si="0"/>
        <v>0</v>
      </c>
      <c r="G9" s="135" t="str">
        <f>IF(E9=0,"—",IF(E9&gt;=D9,"✅ OK","⚠️ Atenção"))</f>
        <v>—</v>
      </c>
      <c r="H9" s="136">
        <f t="shared" si="1"/>
        <v>0</v>
      </c>
      <c r="I9" s="25"/>
    </row>
    <row r="10" spans="1:9" ht="21.75" customHeight="1">
      <c r="A10" s="25"/>
      <c r="B10" s="249" t="s">
        <v>13</v>
      </c>
      <c r="C10" s="249"/>
      <c r="D10" s="129">
        <v>0</v>
      </c>
      <c r="E10" s="130">
        <f>SUMIFS('📋 Movimentações'!$F$15:$F$514,'📋 Movimentações'!$B$15:$B$514,"&gt;="&amp;'📊 Dashboard'!$P$71,'📋 Movimentações'!$B$15:$B$514,"&lt;="&amp;'📊 Dashboard'!$Q$71,'📋 Movimentações'!$E$15:$E$514,"Entrada",'📋 Movimentações'!$D$15:$D$514,"Reembolso")</f>
        <v>0</v>
      </c>
      <c r="F10" s="131">
        <f t="shared" si="0"/>
        <v>0</v>
      </c>
      <c r="G10" s="132" t="str">
        <f>IF(E10=0,"—",IF(E10&gt;=D10,"✅ OK","⚠️ Atenção"))</f>
        <v>—</v>
      </c>
      <c r="H10" s="133">
        <f t="shared" si="1"/>
        <v>0</v>
      </c>
      <c r="I10" s="25"/>
    </row>
    <row r="11" spans="1:9" ht="21.75" customHeight="1">
      <c r="A11" s="25"/>
      <c r="B11" s="251" t="s">
        <v>190</v>
      </c>
      <c r="C11" s="251"/>
      <c r="D11" s="21">
        <f>D6+D7+D8+D9+D10</f>
        <v>305000</v>
      </c>
      <c r="E11" s="21">
        <f>SUMIFS('📋 Movimentações'!$F$15:$F$514,'📋 Movimentações'!$B$15:$B$514,"&gt;="&amp;'📊 Dashboard'!$P$71,'📋 Movimentações'!$B$15:$B$514,"&lt;="&amp;'📊 Dashboard'!$Q$71,'📋 Movimentações'!$E$15:$E$514,"Entrada")</f>
        <v>429000</v>
      </c>
      <c r="F11" s="137">
        <f t="shared" si="0"/>
        <v>124000</v>
      </c>
      <c r="G11" s="8" t="str">
        <f>IF(E11&gt;=D11,"✅ OK","⚠️ Atenção")</f>
        <v>✅ OK</v>
      </c>
      <c r="H11" s="138">
        <f t="shared" si="1"/>
        <v>1.4065573770491804</v>
      </c>
      <c r="I11" s="25"/>
    </row>
    <row r="12" spans="1:9" ht="7.5" customHeight="1">
      <c r="A12" s="25"/>
      <c r="B12" s="25"/>
      <c r="C12" s="25"/>
      <c r="D12" s="25"/>
      <c r="E12" s="25"/>
      <c r="F12" s="25"/>
      <c r="G12" s="25"/>
      <c r="H12" s="25"/>
      <c r="I12" s="25"/>
    </row>
    <row r="13" spans="1:9" ht="15.75" customHeight="1">
      <c r="A13" s="4"/>
      <c r="B13" s="252" t="s">
        <v>191</v>
      </c>
      <c r="C13" s="252"/>
      <c r="D13" s="252"/>
      <c r="E13" s="252"/>
      <c r="F13" s="252"/>
      <c r="G13" s="252"/>
      <c r="H13" s="252"/>
      <c r="I13" s="25"/>
    </row>
    <row r="14" spans="1:9" ht="15.75" customHeight="1">
      <c r="A14" s="25"/>
      <c r="B14" s="248" t="s">
        <v>192</v>
      </c>
      <c r="C14" s="248"/>
      <c r="D14" s="248"/>
      <c r="E14" s="248"/>
      <c r="F14" s="248"/>
      <c r="G14" s="248"/>
      <c r="H14" s="248"/>
      <c r="I14" s="25"/>
    </row>
    <row r="15" spans="1:9" ht="19.5" customHeight="1">
      <c r="A15" s="25"/>
      <c r="B15" s="234" t="s">
        <v>17</v>
      </c>
      <c r="C15" s="234"/>
      <c r="D15" s="139">
        <f>'🏠 Gastos Fixos'!C5</f>
        <v>30100</v>
      </c>
      <c r="E15" s="140">
        <f>SUMIFS('📋 Movimentações'!$F$15:$F$514,'📋 Movimentações'!$B$15:$B$514,"&gt;="&amp;'📊 Dashboard'!$P$71,'📋 Movimentações'!$B$15:$B$514,"&lt;="&amp;'📊 Dashboard'!$Q$71,'📋 Movimentações'!$E$15:$E$514,"Saída",'📋 Movimentações'!$D$15:$D$514,"Aluguel")</f>
        <v>30000</v>
      </c>
      <c r="F15" s="134">
        <f t="shared" ref="F15:F29" si="2">E15-D15</f>
        <v>-100</v>
      </c>
      <c r="G15" s="135" t="str">
        <f t="shared" ref="G15:G28" si="3">IF(E15=0,"—",IF(ABS(E15-D15)&lt;=D15*0.1,"✅ OK","⚠️ Atenção"))</f>
        <v>✅ OK</v>
      </c>
      <c r="H15" s="136">
        <f t="shared" ref="H15:H29" si="4">IFERROR(E15/D15,0)</f>
        <v>0.99667774086378735</v>
      </c>
      <c r="I15" s="25"/>
    </row>
    <row r="16" spans="1:9" ht="19.5" customHeight="1">
      <c r="A16" s="25"/>
      <c r="B16" s="237" t="s">
        <v>18</v>
      </c>
      <c r="C16" s="237"/>
      <c r="D16" s="139">
        <f>'🏠 Gastos Fixos'!C6</f>
        <v>0</v>
      </c>
      <c r="E16" s="141">
        <f>SUMIFS('📋 Movimentações'!$F$15:$F$514,'📋 Movimentações'!$B$15:$B$514,"&gt;="&amp;'📊 Dashboard'!$P$71,'📋 Movimentações'!$B$15:$B$514,"&lt;="&amp;'📊 Dashboard'!$Q$71,'📋 Movimentações'!$E$15:$E$514,"Saída",'📋 Movimentações'!$D$15:$D$514,"Luz")</f>
        <v>0</v>
      </c>
      <c r="F16" s="131">
        <f t="shared" si="2"/>
        <v>0</v>
      </c>
      <c r="G16" s="132" t="str">
        <f t="shared" si="3"/>
        <v>—</v>
      </c>
      <c r="H16" s="133">
        <f t="shared" si="4"/>
        <v>0</v>
      </c>
      <c r="I16" s="25"/>
    </row>
    <row r="17" spans="1:9" ht="19.5" customHeight="1">
      <c r="A17" s="25"/>
      <c r="B17" s="234" t="s">
        <v>19</v>
      </c>
      <c r="C17" s="234"/>
      <c r="D17" s="139">
        <f>'🏠 Gastos Fixos'!C7</f>
        <v>8581</v>
      </c>
      <c r="E17" s="140">
        <f>SUMIFS('📋 Movimentações'!$F$15:$F$514,'📋 Movimentações'!$B$15:$B$514,"&gt;="&amp;'📊 Dashboard'!$P$71,'📋 Movimentações'!$B$15:$B$514,"&lt;="&amp;'📊 Dashboard'!$Q$71,'📋 Movimentações'!$E$15:$E$514,"Saída",'📋 Movimentações'!$D$15:$D$514,"Água")</f>
        <v>0</v>
      </c>
      <c r="F17" s="134">
        <f t="shared" si="2"/>
        <v>-8581</v>
      </c>
      <c r="G17" s="135" t="str">
        <f t="shared" si="3"/>
        <v>—</v>
      </c>
      <c r="H17" s="136">
        <f t="shared" si="4"/>
        <v>0</v>
      </c>
      <c r="I17" s="25"/>
    </row>
    <row r="18" spans="1:9" ht="19.5" customHeight="1">
      <c r="A18" s="25"/>
      <c r="B18" s="237" t="s">
        <v>20</v>
      </c>
      <c r="C18" s="237"/>
      <c r="D18" s="139">
        <f>'🏠 Gastos Fixos'!C8</f>
        <v>4800</v>
      </c>
      <c r="E18" s="141">
        <f>SUMIFS('📋 Movimentações'!$F$15:$F$514,'📋 Movimentações'!$B$15:$B$514,"&gt;="&amp;'📊 Dashboard'!$P$71,'📋 Movimentações'!$B$15:$B$514,"&lt;="&amp;'📊 Dashboard'!$Q$71,'📋 Movimentações'!$E$15:$E$514,"Saída",'📋 Movimentações'!$D$15:$D$514,"Gás")</f>
        <v>0</v>
      </c>
      <c r="F18" s="131">
        <f t="shared" si="2"/>
        <v>-4800</v>
      </c>
      <c r="G18" s="132" t="str">
        <f t="shared" si="3"/>
        <v>—</v>
      </c>
      <c r="H18" s="133">
        <f t="shared" si="4"/>
        <v>0</v>
      </c>
      <c r="I18" s="25"/>
    </row>
    <row r="19" spans="1:9" ht="19.5" customHeight="1">
      <c r="A19" s="25"/>
      <c r="B19" s="234" t="s">
        <v>21</v>
      </c>
      <c r="C19" s="234"/>
      <c r="D19" s="139">
        <f>'🏠 Gastos Fixos'!C9</f>
        <v>6000</v>
      </c>
      <c r="E19" s="140">
        <f>SUMIFS('📋 Movimentações'!$F$15:$F$514,'📋 Movimentações'!$B$15:$B$514,"&gt;="&amp;'📊 Dashboard'!$P$71,'📋 Movimentações'!$B$15:$B$514,"&lt;="&amp;'📊 Dashboard'!$Q$71,'📋 Movimentações'!$E$15:$E$514,"Saída",'📋 Movimentações'!$D$15:$D$514,"Internet")</f>
        <v>0</v>
      </c>
      <c r="F19" s="134">
        <f t="shared" si="2"/>
        <v>-6000</v>
      </c>
      <c r="G19" s="135" t="str">
        <f t="shared" si="3"/>
        <v>—</v>
      </c>
      <c r="H19" s="136">
        <f t="shared" si="4"/>
        <v>0</v>
      </c>
      <c r="I19" s="25"/>
    </row>
    <row r="20" spans="1:9" ht="19.5" customHeight="1">
      <c r="A20" s="25"/>
      <c r="B20" s="237" t="s">
        <v>22</v>
      </c>
      <c r="C20" s="237"/>
      <c r="D20" s="139">
        <f>'🏠 Gastos Fixos'!C10</f>
        <v>32412</v>
      </c>
      <c r="E20" s="141">
        <f>SUMIFS('📋 Movimentações'!$F$15:$F$514,'📋 Movimentações'!$B$15:$B$514,"&gt;="&amp;'📊 Dashboard'!$P$71,'📋 Movimentações'!$B$15:$B$514,"&lt;="&amp;'📊 Dashboard'!$Q$71,'📋 Movimentações'!$E$15:$E$514,"Saída",'📋 Movimentações'!$D$15:$D$514,"Celular")</f>
        <v>32412</v>
      </c>
      <c r="F20" s="131">
        <f t="shared" si="2"/>
        <v>0</v>
      </c>
      <c r="G20" s="132" t="str">
        <f t="shared" si="3"/>
        <v>✅ OK</v>
      </c>
      <c r="H20" s="133">
        <f t="shared" si="4"/>
        <v>1</v>
      </c>
      <c r="I20" s="25"/>
    </row>
    <row r="21" spans="1:9" ht="19.5" customHeight="1">
      <c r="A21" s="25"/>
      <c r="B21" s="234" t="s">
        <v>23</v>
      </c>
      <c r="C21" s="234"/>
      <c r="D21" s="139">
        <f>'🏠 Gastos Fixos'!C11</f>
        <v>6000</v>
      </c>
      <c r="E21" s="140">
        <f>SUMIFS('📋 Movimentações'!$F$15:$F$514,'📋 Movimentações'!$B$15:$B$514,"&gt;="&amp;'📊 Dashboard'!$P$71,'📋 Movimentações'!$B$15:$B$514,"&lt;="&amp;'📊 Dashboard'!$Q$71,'📋 Movimentações'!$E$15:$E$514,"Saída",'📋 Movimentações'!$D$15:$D$514,"Academia")</f>
        <v>6000</v>
      </c>
      <c r="F21" s="134">
        <f t="shared" si="2"/>
        <v>0</v>
      </c>
      <c r="G21" s="135" t="str">
        <f t="shared" si="3"/>
        <v>✅ OK</v>
      </c>
      <c r="H21" s="136">
        <f t="shared" si="4"/>
        <v>1</v>
      </c>
      <c r="I21" s="25"/>
    </row>
    <row r="22" spans="1:9" ht="19.5" customHeight="1">
      <c r="A22" s="25"/>
      <c r="B22" s="237" t="s">
        <v>24</v>
      </c>
      <c r="C22" s="237"/>
      <c r="D22" s="139">
        <f>'🏠 Gastos Fixos'!C12</f>
        <v>0</v>
      </c>
      <c r="E22" s="141">
        <f>SUMIFS('📋 Movimentações'!$F$15:$F$514,'📋 Movimentações'!$B$15:$B$514,"&gt;="&amp;'📊 Dashboard'!$P$71,'📋 Movimentações'!$B$15:$B$514,"&lt;="&amp;'📊 Dashboard'!$Q$71,'📋 Movimentações'!$E$15:$E$514,"Saída",'📋 Movimentações'!$D$15:$D$514,"Saúde")</f>
        <v>0</v>
      </c>
      <c r="F22" s="131">
        <f t="shared" si="2"/>
        <v>0</v>
      </c>
      <c r="G22" s="132" t="str">
        <f t="shared" si="3"/>
        <v>—</v>
      </c>
      <c r="H22" s="133">
        <f t="shared" si="4"/>
        <v>0</v>
      </c>
      <c r="I22" s="25"/>
    </row>
    <row r="23" spans="1:9" ht="19.5" customHeight="1">
      <c r="A23" s="25"/>
      <c r="B23" s="234" t="s">
        <v>25</v>
      </c>
      <c r="C23" s="234"/>
      <c r="D23" s="139">
        <f>'🏠 Gastos Fixos'!C13</f>
        <v>16000</v>
      </c>
      <c r="E23" s="140">
        <f>SUMIFS('📋 Movimentações'!$F$15:$F$514,'📋 Movimentações'!$B$15:$B$514,"&gt;="&amp;'📊 Dashboard'!$P$71,'📋 Movimentações'!$B$15:$B$514,"&lt;="&amp;'📊 Dashboard'!$Q$71,'📋 Movimentações'!$E$15:$E$514,"Saída",'📋 Movimentações'!$D$15:$D$514,"Seguro do Carro")</f>
        <v>0</v>
      </c>
      <c r="F23" s="134">
        <f t="shared" si="2"/>
        <v>-16000</v>
      </c>
      <c r="G23" s="135" t="str">
        <f t="shared" si="3"/>
        <v>—</v>
      </c>
      <c r="H23" s="136">
        <f t="shared" si="4"/>
        <v>0</v>
      </c>
      <c r="I23" s="25"/>
    </row>
    <row r="24" spans="1:9" ht="19.5" customHeight="1">
      <c r="A24" s="25"/>
      <c r="B24" s="237" t="s">
        <v>26</v>
      </c>
      <c r="C24" s="237"/>
      <c r="D24" s="139">
        <f>'🏠 Gastos Fixos'!C14</f>
        <v>1000</v>
      </c>
      <c r="E24" s="141">
        <f>SUMIFS('📋 Movimentações'!$F$15:$F$514,'📋 Movimentações'!$B$15:$B$514,"&gt;="&amp;'📊 Dashboard'!$P$71,'📋 Movimentações'!$B$15:$B$514,"&lt;="&amp;'📊 Dashboard'!$Q$71,'📋 Movimentações'!$E$15:$E$514,"Saída",'📋 Movimentações'!$D$15:$D$514,"Assinatura")</f>
        <v>0</v>
      </c>
      <c r="F24" s="131">
        <f t="shared" si="2"/>
        <v>-1000</v>
      </c>
      <c r="G24" s="132" t="str">
        <f t="shared" si="3"/>
        <v>—</v>
      </c>
      <c r="H24" s="133">
        <f t="shared" si="4"/>
        <v>0</v>
      </c>
      <c r="I24" s="25"/>
    </row>
    <row r="25" spans="1:9" ht="19.5" customHeight="1">
      <c r="A25" s="25"/>
      <c r="B25" s="234" t="s">
        <v>27</v>
      </c>
      <c r="C25" s="234"/>
      <c r="D25" s="139">
        <f>'🏠 Gastos Fixos'!C15</f>
        <v>0</v>
      </c>
      <c r="E25" s="140">
        <f>SUMIFS('📋 Movimentações'!$F$15:$F$514,'📋 Movimentações'!$B$15:$B$514,"&gt;="&amp;'📊 Dashboard'!$P$71,'📋 Movimentações'!$B$15:$B$514,"&lt;="&amp;'📊 Dashboard'!$Q$71,'📋 Movimentações'!$E$15:$E$514,"Saída",'📋 Movimentações'!$D$15:$D$514,"Assinatura")</f>
        <v>0</v>
      </c>
      <c r="F25" s="134">
        <f t="shared" si="2"/>
        <v>0</v>
      </c>
      <c r="G25" s="135" t="str">
        <f t="shared" si="3"/>
        <v>—</v>
      </c>
      <c r="H25" s="136">
        <f t="shared" si="4"/>
        <v>0</v>
      </c>
      <c r="I25" s="25"/>
    </row>
    <row r="26" spans="1:9" ht="19.5" customHeight="1">
      <c r="A26" s="25"/>
      <c r="B26" s="237" t="s">
        <v>28</v>
      </c>
      <c r="C26" s="237"/>
      <c r="D26" s="139">
        <f>'🏠 Gastos Fixos'!C16</f>
        <v>8000</v>
      </c>
      <c r="E26" s="141">
        <f>SUMIFS('📋 Movimentações'!$F$15:$F$514,'📋 Movimentações'!$B$15:$B$514,"&gt;="&amp;'📊 Dashboard'!$P$71,'📋 Movimentações'!$B$15:$B$514,"&lt;="&amp;'📊 Dashboard'!$Q$71,'📋 Movimentações'!$E$15:$E$514,"Saída",'📋 Movimentações'!$D$15:$D$514,"Escola/Creche")</f>
        <v>0</v>
      </c>
      <c r="F26" s="131">
        <f t="shared" si="2"/>
        <v>-8000</v>
      </c>
      <c r="G26" s="132" t="str">
        <f t="shared" si="3"/>
        <v>—</v>
      </c>
      <c r="H26" s="133">
        <f t="shared" si="4"/>
        <v>0</v>
      </c>
      <c r="I26" s="25"/>
    </row>
    <row r="27" spans="1:9" ht="19.5" customHeight="1">
      <c r="A27" s="25"/>
      <c r="B27" s="234" t="s">
        <v>29</v>
      </c>
      <c r="C27" s="234"/>
      <c r="D27" s="139">
        <f>'🏠 Gastos Fixos'!C17</f>
        <v>43160</v>
      </c>
      <c r="E27" s="140">
        <f>SUMIFS('📋 Movimentações'!$F$15:$F$514,'📋 Movimentações'!$B$15:$B$514,"&gt;="&amp;'📊 Dashboard'!$P$71,'📋 Movimentações'!$B$15:$B$514,"&lt;="&amp;'📊 Dashboard'!$Q$71,'📋 Movimentações'!$E$15:$E$514,"Saída",'📋 Movimentações'!$D$15:$D$514,"Outros")</f>
        <v>0</v>
      </c>
      <c r="F27" s="134">
        <f t="shared" si="2"/>
        <v>-43160</v>
      </c>
      <c r="G27" s="135" t="str">
        <f t="shared" si="3"/>
        <v>—</v>
      </c>
      <c r="H27" s="136">
        <f t="shared" si="4"/>
        <v>0</v>
      </c>
      <c r="I27" s="25"/>
    </row>
    <row r="28" spans="1:9" ht="19.5" customHeight="1">
      <c r="A28" s="25"/>
      <c r="B28" s="237" t="s">
        <v>193</v>
      </c>
      <c r="C28" s="237"/>
      <c r="D28" s="139">
        <f>'🏠 Gastos Fixos'!C18</f>
        <v>7000</v>
      </c>
      <c r="E28" s="141">
        <f>SUMIFS('📋 Movimentações'!$F$15:$F$514,'📋 Movimentações'!$B$15:$B$514,"&gt;="&amp;'📊 Dashboard'!$P$71,'📋 Movimentações'!$B$15:$B$514,"&lt;="&amp;'📊 Dashboard'!$Q$71,'📋 Movimentações'!$E$15:$E$514,"Saída",'📋 Movimentações'!$D$15:$D$514,"Outros")</f>
        <v>0</v>
      </c>
      <c r="F28" s="131">
        <f t="shared" si="2"/>
        <v>-7000</v>
      </c>
      <c r="G28" s="132" t="str">
        <f t="shared" si="3"/>
        <v>—</v>
      </c>
      <c r="H28" s="133">
        <f t="shared" si="4"/>
        <v>0</v>
      </c>
      <c r="I28" s="25"/>
    </row>
    <row r="29" spans="1:9" ht="21.75" customHeight="1">
      <c r="A29" s="25"/>
      <c r="B29" s="246" t="s">
        <v>31</v>
      </c>
      <c r="C29" s="246"/>
      <c r="D29" s="33">
        <f>'🏠 Gastos Fixos'!C23</f>
        <v>163053</v>
      </c>
      <c r="E29" s="33">
        <f>E15+E16+E17+E18+E19+E20+E21+E22+E23+E24+E25+E26+E27+E28</f>
        <v>68412</v>
      </c>
      <c r="F29" s="137">
        <f t="shared" si="2"/>
        <v>-94641</v>
      </c>
      <c r="G29" s="8" t="str">
        <f>IF(E29&gt;=D29,"✅ OK","⚠️ Atenção")</f>
        <v>⚠️ Atenção</v>
      </c>
      <c r="H29" s="138">
        <f t="shared" si="4"/>
        <v>0.41956909716472557</v>
      </c>
      <c r="I29" s="25"/>
    </row>
    <row r="30" spans="1:9" ht="7.5" customHeight="1">
      <c r="A30" s="25"/>
      <c r="B30" s="25"/>
      <c r="C30" s="25"/>
      <c r="D30" s="25"/>
      <c r="E30" s="25"/>
      <c r="F30" s="25"/>
      <c r="G30" s="25"/>
      <c r="H30" s="25"/>
      <c r="I30" s="25"/>
    </row>
    <row r="31" spans="1:9" ht="15.75" customHeight="1">
      <c r="A31" s="4"/>
      <c r="B31" s="247" t="s">
        <v>194</v>
      </c>
      <c r="C31" s="247"/>
      <c r="D31" s="247"/>
      <c r="E31" s="247"/>
      <c r="F31" s="247"/>
      <c r="G31" s="247"/>
      <c r="H31" s="247"/>
      <c r="I31" s="25"/>
    </row>
    <row r="32" spans="1:9" ht="21.75" customHeight="1">
      <c r="A32" s="25"/>
      <c r="B32" s="241" t="s">
        <v>33</v>
      </c>
      <c r="C32" s="241"/>
      <c r="D32" s="129">
        <f>'🗂 Ichiran'!D57</f>
        <v>0</v>
      </c>
      <c r="E32" s="142">
        <f>SUMIFS('📋 Movimentações'!$F$15:$F$514,'📋 Movimentações'!$B$15:$B$514,"&gt;="&amp;'📊 Dashboard'!$P$71,'📋 Movimentações'!$B$15:$B$514,"&lt;="&amp;'📊 Dashboard'!$Q$71,'📋 Movimentações'!$E$15:$E$514,"Saída",'📋 Movimentações'!$D$15:$D$514,"Mercado")+SUMIFS('📋 Movimentações'!$F$15:$F$514,'📋 Movimentações'!$B$15:$B$514,"&gt;="&amp;'📊 Dashboard'!$P$71,'📋 Movimentações'!$B$15:$B$514,"&lt;="&amp;'📊 Dashboard'!$Q$71,'📋 Movimentações'!$E$15:$E$514,"Saída",'📋 Movimentações'!$D$15:$D$514,"Konbini")</f>
        <v>0</v>
      </c>
      <c r="F32" s="131">
        <f t="shared" ref="F32:F42" si="5">E32-D32</f>
        <v>0</v>
      </c>
      <c r="G32" s="132" t="str">
        <f t="shared" ref="G32:G41" si="6">IF(E32=0,"—",IF(E32&lt;=D32,"✅ OK","🔴 Limite!"))</f>
        <v>—</v>
      </c>
      <c r="H32" s="133">
        <f t="shared" ref="H32:H42" si="7">IFERROR(E32/D32,0)</f>
        <v>0</v>
      </c>
      <c r="I32" s="25"/>
    </row>
    <row r="33" spans="1:9" ht="21.75" customHeight="1">
      <c r="A33" s="25"/>
      <c r="B33" s="242" t="s">
        <v>34</v>
      </c>
      <c r="C33" s="242"/>
      <c r="D33" s="129">
        <f>'🗂 Ichiran'!D59</f>
        <v>0</v>
      </c>
      <c r="E33" s="36">
        <f>SUMIFS('📋 Movimentações'!$F$15:$F$514,'📋 Movimentações'!$B$15:$B$514,"&gt;="&amp;'📊 Dashboard'!$P$71,'📋 Movimentações'!$B$15:$B$514,"&lt;="&amp;'📊 Dashboard'!$Q$71,'📋 Movimentações'!$E$15:$E$514,"Saída",'📋 Movimentações'!$D$15:$D$514,"Gasolina")+SUMIFS('📋 Movimentações'!$F$15:$F$514,'📋 Movimentações'!$B$15:$B$514,"&gt;="&amp;'📊 Dashboard'!$P$71,'📋 Movimentações'!$B$15:$B$514,"&lt;="&amp;'📊 Dashboard'!$Q$71,'📋 Movimentações'!$E$15:$E$514,"Saída",'📋 Movimentações'!$D$15:$D$514,"Pedágio")+SUMIFS('📋 Movimentações'!$F$15:$F$514,'📋 Movimentações'!$B$15:$B$514,"&gt;="&amp;'📊 Dashboard'!$P$71,'📋 Movimentações'!$B$15:$B$514,"&lt;="&amp;'📊 Dashboard'!$Q$71,'📋 Movimentações'!$E$15:$E$514,"Saída",'📋 Movimentações'!$D$15:$D$514,"Estacionamento")</f>
        <v>0</v>
      </c>
      <c r="F33" s="134">
        <f t="shared" si="5"/>
        <v>0</v>
      </c>
      <c r="G33" s="135" t="str">
        <f t="shared" si="6"/>
        <v>—</v>
      </c>
      <c r="H33" s="136">
        <f t="shared" si="7"/>
        <v>0</v>
      </c>
      <c r="I33" s="25"/>
    </row>
    <row r="34" spans="1:9" ht="21.75" customHeight="1">
      <c r="A34" s="25"/>
      <c r="B34" s="241" t="s">
        <v>35</v>
      </c>
      <c r="C34" s="241"/>
      <c r="D34" s="129">
        <f>'🗂 Ichiran'!D61</f>
        <v>0</v>
      </c>
      <c r="E34" s="142">
        <f>SUMIFS('📋 Movimentações'!$F$15:$F$514,'📋 Movimentações'!$B$15:$B$514,"&gt;="&amp;'📊 Dashboard'!$P$71,'📋 Movimentações'!$B$15:$B$514,"&lt;="&amp;'📊 Dashboard'!$Q$71,'📋 Movimentações'!$E$15:$E$514,"Saída",'📋 Movimentações'!$D$15:$D$514,"Restaurantes")</f>
        <v>0</v>
      </c>
      <c r="F34" s="131">
        <f t="shared" si="5"/>
        <v>0</v>
      </c>
      <c r="G34" s="132" t="str">
        <f t="shared" si="6"/>
        <v>—</v>
      </c>
      <c r="H34" s="133">
        <f t="shared" si="7"/>
        <v>0</v>
      </c>
      <c r="I34" s="25"/>
    </row>
    <row r="35" spans="1:9" ht="21.75" customHeight="1">
      <c r="A35" s="25"/>
      <c r="B35" s="242" t="s">
        <v>36</v>
      </c>
      <c r="C35" s="242"/>
      <c r="D35" s="129">
        <f>'🗂 Ichiran'!D63</f>
        <v>0</v>
      </c>
      <c r="E35" s="36">
        <f>SUMIFS('📋 Movimentações'!$F$15:$F$514,'📋 Movimentações'!$B$15:$B$514,"&gt;="&amp;'📊 Dashboard'!$P$71,'📋 Movimentações'!$B$15:$B$514,"&lt;="&amp;'📊 Dashboard'!$Q$71,'📋 Movimentações'!$E$15:$E$514,"Saída",'📋 Movimentações'!$D$15:$D$514,"Lazer")</f>
        <v>0</v>
      </c>
      <c r="F35" s="134">
        <f t="shared" si="5"/>
        <v>0</v>
      </c>
      <c r="G35" s="135" t="str">
        <f t="shared" si="6"/>
        <v>—</v>
      </c>
      <c r="H35" s="136">
        <f t="shared" si="7"/>
        <v>0</v>
      </c>
      <c r="I35" s="25"/>
    </row>
    <row r="36" spans="1:9" ht="21.75" customHeight="1">
      <c r="A36" s="25"/>
      <c r="B36" s="241" t="s">
        <v>37</v>
      </c>
      <c r="C36" s="241"/>
      <c r="D36" s="129">
        <f>'🗂 Ichiran'!D65</f>
        <v>0</v>
      </c>
      <c r="E36" s="142">
        <f>SUMIFS('📋 Movimentações'!$F$15:$F$514,'📋 Movimentações'!$B$15:$B$514,"&gt;="&amp;'📊 Dashboard'!$P$71,'📋 Movimentações'!$B$15:$B$514,"&lt;="&amp;'📊 Dashboard'!$Q$71,'📋 Movimentações'!$E$15:$E$514,"Saída",'📋 Movimentações'!$D$15:$D$514,"Saúde")+SUMIFS('📋 Movimentações'!$F$15:$F$514,'📋 Movimentações'!$B$15:$B$514,"&gt;="&amp;'📊 Dashboard'!$P$71,'📋 Movimentações'!$B$15:$B$514,"&lt;="&amp;'📊 Dashboard'!$Q$71,'📋 Movimentações'!$E$15:$E$514,"Saída",'📋 Movimentações'!$D$15:$D$514,"Remédios")</f>
        <v>0</v>
      </c>
      <c r="F36" s="131">
        <f t="shared" si="5"/>
        <v>0</v>
      </c>
      <c r="G36" s="132" t="str">
        <f t="shared" si="6"/>
        <v>—</v>
      </c>
      <c r="H36" s="133">
        <f t="shared" si="7"/>
        <v>0</v>
      </c>
      <c r="I36" s="25"/>
    </row>
    <row r="37" spans="1:9" ht="21.75" customHeight="1">
      <c r="A37" s="25"/>
      <c r="B37" s="242" t="s">
        <v>38</v>
      </c>
      <c r="C37" s="242"/>
      <c r="D37" s="129">
        <f>'🗂 Ichiran'!D67</f>
        <v>0</v>
      </c>
      <c r="E37" s="36">
        <f>SUMIFS('📋 Movimentações'!$F$15:$F$514,'📋 Movimentações'!$B$15:$B$514,"&gt;="&amp;'📊 Dashboard'!$P$71,'📋 Movimentações'!$B$15:$B$514,"&lt;="&amp;'📊 Dashboard'!$Q$71,'📋 Movimentações'!$E$15:$E$514,"Saída",'📋 Movimentações'!$D$15:$D$514,"Compras")+SUMIFS('📋 Movimentações'!$F$15:$F$514,'📋 Movimentações'!$B$15:$B$514,"&gt;="&amp;'📊 Dashboard'!$P$71,'📋 Movimentações'!$B$15:$B$514,"&lt;="&amp;'📊 Dashboard'!$Q$71,'📋 Movimentações'!$E$15:$E$514,"Saída",'📋 Movimentações'!$D$15:$D$514,"Roupas")</f>
        <v>0</v>
      </c>
      <c r="F37" s="134">
        <f t="shared" si="5"/>
        <v>0</v>
      </c>
      <c r="G37" s="135" t="str">
        <f t="shared" si="6"/>
        <v>—</v>
      </c>
      <c r="H37" s="136">
        <f t="shared" si="7"/>
        <v>0</v>
      </c>
      <c r="I37" s="25"/>
    </row>
    <row r="38" spans="1:9" ht="21.75" customHeight="1">
      <c r="A38" s="25"/>
      <c r="B38" s="241" t="s">
        <v>39</v>
      </c>
      <c r="C38" s="241"/>
      <c r="D38" s="129">
        <f>'🗂 Ichiran'!D69</f>
        <v>0</v>
      </c>
      <c r="E38" s="142">
        <f>SUMIFS('📋 Movimentações'!$F$15:$F$514,'📋 Movimentações'!$B$15:$B$514,"&gt;="&amp;'📊 Dashboard'!$P$71,'📋 Movimentações'!$B$15:$B$514,"&lt;="&amp;'📊 Dashboard'!$Q$71,'📋 Movimentações'!$E$15:$E$514,"Saída",'📋 Movimentações'!$D$15:$D$514,"Remessa Brasil")</f>
        <v>0</v>
      </c>
      <c r="F38" s="131">
        <f t="shared" si="5"/>
        <v>0</v>
      </c>
      <c r="G38" s="132" t="str">
        <f t="shared" si="6"/>
        <v>—</v>
      </c>
      <c r="H38" s="133">
        <f t="shared" si="7"/>
        <v>0</v>
      </c>
      <c r="I38" s="25"/>
    </row>
    <row r="39" spans="1:9" ht="21.75" customHeight="1">
      <c r="A39" s="25"/>
      <c r="B39" s="242" t="s">
        <v>40</v>
      </c>
      <c r="C39" s="242"/>
      <c r="D39" s="129">
        <f>'🗂 Ichiran'!D71</f>
        <v>0</v>
      </c>
      <c r="E39" s="36">
        <f>SUMIFS('📋 Movimentações'!$F$15:$F$514,'📋 Movimentações'!$B$15:$B$514,"&gt;="&amp;'📊 Dashboard'!$P$71,'📋 Movimentações'!$B$15:$B$514,"&lt;="&amp;'📊 Dashboard'!$Q$71,'📋 Movimentações'!$E$15:$E$514,"Saída",'📋 Movimentações'!$D$15:$D$514,"Igreja/Oferta")</f>
        <v>0</v>
      </c>
      <c r="F39" s="134">
        <f t="shared" si="5"/>
        <v>0</v>
      </c>
      <c r="G39" s="135" t="str">
        <f t="shared" si="6"/>
        <v>—</v>
      </c>
      <c r="H39" s="136">
        <f t="shared" si="7"/>
        <v>0</v>
      </c>
      <c r="I39" s="25"/>
    </row>
    <row r="40" spans="1:9" ht="21.75" customHeight="1">
      <c r="A40" s="25"/>
      <c r="B40" s="241" t="s">
        <v>41</v>
      </c>
      <c r="C40" s="241"/>
      <c r="D40" s="129">
        <f>'🗂 Ichiran'!D73</f>
        <v>0</v>
      </c>
      <c r="E40" s="142">
        <f>SUMIFS('📋 Movimentações'!$F$15:$F$514,'📋 Movimentações'!$B$15:$B$514,"&gt;="&amp;'📊 Dashboard'!$P$71,'📋 Movimentações'!$B$15:$B$514,"&lt;="&amp;'📊 Dashboard'!$Q$71,'📋 Movimentações'!$E$15:$E$514,"Saída",'📋 Movimentações'!$D$15:$D$514,"Emergência")</f>
        <v>0</v>
      </c>
      <c r="F40" s="131">
        <f t="shared" si="5"/>
        <v>0</v>
      </c>
      <c r="G40" s="132" t="str">
        <f t="shared" si="6"/>
        <v>—</v>
      </c>
      <c r="H40" s="133">
        <f t="shared" si="7"/>
        <v>0</v>
      </c>
      <c r="I40" s="25"/>
    </row>
    <row r="41" spans="1:9" ht="21.75" customHeight="1">
      <c r="A41" s="25"/>
      <c r="B41" s="242" t="s">
        <v>42</v>
      </c>
      <c r="C41" s="242"/>
      <c r="D41" s="129">
        <f>'🗂 Ichiran'!D75</f>
        <v>10000</v>
      </c>
      <c r="E41" s="36">
        <f>SUMIFS('📋 Movimentações'!$F$15:$F$514,'📋 Movimentações'!$B$15:$B$514,"&gt;="&amp;'📊 Dashboard'!$P$71,'📋 Movimentações'!$B$15:$B$514,"&lt;="&amp;'📊 Dashboard'!$Q$71,'📋 Movimentações'!$E$15:$E$514,"Saída",'📋 Movimentações'!$D$15:$D$514,"Outros")</f>
        <v>0</v>
      </c>
      <c r="F41" s="134">
        <f t="shared" si="5"/>
        <v>-10000</v>
      </c>
      <c r="G41" s="135" t="str">
        <f t="shared" si="6"/>
        <v>—</v>
      </c>
      <c r="H41" s="136">
        <f t="shared" si="7"/>
        <v>0</v>
      </c>
      <c r="I41" s="25"/>
    </row>
    <row r="42" spans="1:9" ht="21.75" customHeight="1">
      <c r="A42" s="25"/>
      <c r="B42" s="243" t="s">
        <v>43</v>
      </c>
      <c r="C42" s="243"/>
      <c r="D42" s="40">
        <f>D32+D33+D34+D35+D36+D37+D38+D39+D40+D41</f>
        <v>10000</v>
      </c>
      <c r="E42" s="40">
        <f>SUMIFS('📋 Movimentações'!$F$15:$F$514,'📋 Movimentações'!$B$15:$B$514,"&gt;="&amp;'📊 Dashboard'!$P$71,'📋 Movimentações'!$B$15:$B$514,"&lt;="&amp;'📊 Dashboard'!$Q$71,'📋 Movimentações'!$E$15:$E$514,"Saída")-E29</f>
        <v>43160</v>
      </c>
      <c r="F42" s="137">
        <f t="shared" si="5"/>
        <v>33160</v>
      </c>
      <c r="G42" s="8" t="str">
        <f>IF(E42&lt;=D42,"✅ OK","🔴 Limite!")</f>
        <v>🔴 Limite!</v>
      </c>
      <c r="H42" s="138">
        <f t="shared" si="7"/>
        <v>4.3159999999999998</v>
      </c>
      <c r="I42" s="25"/>
    </row>
    <row r="43" spans="1:9" ht="7.5" customHeight="1">
      <c r="A43" s="25"/>
      <c r="B43" s="25"/>
      <c r="C43" s="25"/>
      <c r="D43" s="25"/>
      <c r="E43" s="25"/>
      <c r="F43" s="25"/>
      <c r="G43" s="25"/>
      <c r="H43" s="25"/>
      <c r="I43" s="25"/>
    </row>
    <row r="44" spans="1:9" ht="15.75" customHeight="1">
      <c r="A44" s="4"/>
      <c r="B44" s="244" t="s">
        <v>195</v>
      </c>
      <c r="C44" s="244"/>
      <c r="D44" s="244"/>
      <c r="E44" s="244"/>
      <c r="F44" s="244"/>
      <c r="G44" s="244"/>
      <c r="H44" s="244"/>
      <c r="I44" s="25"/>
    </row>
    <row r="45" spans="1:9" ht="24" customHeight="1">
      <c r="A45" s="25"/>
      <c r="B45" s="245" t="s">
        <v>63</v>
      </c>
      <c r="C45" s="245"/>
      <c r="D45" s="143">
        <f>D11</f>
        <v>305000</v>
      </c>
      <c r="E45" s="143">
        <f>E11</f>
        <v>429000</v>
      </c>
      <c r="F45" s="143">
        <f>E45-D45</f>
        <v>124000</v>
      </c>
      <c r="G45" s="132" t="str">
        <f>IF(E45&gt;=D45,"✅ OK","⚠️ Atenção")</f>
        <v>✅ OK</v>
      </c>
      <c r="H45" s="133">
        <f>IFERROR(E45/D45,0)</f>
        <v>1.4065573770491804</v>
      </c>
      <c r="I45" s="25"/>
    </row>
    <row r="46" spans="1:9" ht="24" customHeight="1">
      <c r="A46" s="25"/>
      <c r="B46" s="238" t="s">
        <v>67</v>
      </c>
      <c r="C46" s="238"/>
      <c r="D46" s="144">
        <f>D29+D42</f>
        <v>173053</v>
      </c>
      <c r="E46" s="144">
        <f>E29+E42</f>
        <v>111572</v>
      </c>
      <c r="F46" s="144">
        <f>E46-D46</f>
        <v>-61481</v>
      </c>
      <c r="G46" s="135" t="str">
        <f>IF(E46&gt;=D46,"✅ OK","⚠️ Atenção")</f>
        <v>⚠️ Atenção</v>
      </c>
      <c r="H46" s="136">
        <f>IFERROR(E46/D46,0)</f>
        <v>0.64472733786758973</v>
      </c>
      <c r="I46" s="25"/>
    </row>
    <row r="47" spans="1:9" ht="24" customHeight="1">
      <c r="A47" s="25"/>
      <c r="B47" s="239" t="s">
        <v>68</v>
      </c>
      <c r="C47" s="239"/>
      <c r="D47" s="145">
        <f>D45-D46</f>
        <v>131947</v>
      </c>
      <c r="E47" s="145">
        <f>E45-E46</f>
        <v>317428</v>
      </c>
      <c r="F47" s="145">
        <f>E47-D47</f>
        <v>185481</v>
      </c>
      <c r="G47" s="132" t="str">
        <f>IF(E47&gt;=D47,"✅ OK","⚠️ Atenção")</f>
        <v>✅ OK</v>
      </c>
      <c r="H47" s="133">
        <f>IFERROR(E47/D47,0)</f>
        <v>2.405723510197276</v>
      </c>
      <c r="I47" s="25"/>
    </row>
    <row r="48" spans="1:9" ht="7.5" customHeight="1">
      <c r="A48" s="25"/>
      <c r="B48" s="25"/>
      <c r="C48" s="25"/>
      <c r="D48" s="25"/>
      <c r="E48" s="25"/>
      <c r="F48" s="25"/>
      <c r="G48" s="25"/>
      <c r="H48" s="25"/>
      <c r="I48" s="25"/>
    </row>
    <row r="49" spans="1:9" ht="15.75" customHeight="1">
      <c r="A49" s="4"/>
      <c r="B49" s="240" t="s">
        <v>196</v>
      </c>
      <c r="C49" s="240"/>
      <c r="D49" s="240"/>
      <c r="E49" s="240"/>
      <c r="F49" s="240"/>
      <c r="G49" s="240"/>
      <c r="H49" s="240"/>
      <c r="I49" s="25"/>
    </row>
    <row r="50" spans="1:9" ht="19.5" customHeight="1">
      <c r="A50" s="25"/>
      <c r="B50" s="237" t="s">
        <v>46</v>
      </c>
      <c r="C50" s="237"/>
      <c r="D50" s="146">
        <f ca="1">IFERROR(IF('🎯 Metas'!I5="—",0,'🎯 Metas'!I5),0)</f>
        <v>500000</v>
      </c>
      <c r="E50" s="147">
        <v>0</v>
      </c>
      <c r="F50" s="131">
        <f t="shared" ref="F50:F58" ca="1" si="8">E50-D50</f>
        <v>-500000</v>
      </c>
      <c r="G50" s="132" t="str">
        <f t="shared" ref="G50:G57" ca="1" si="9">IF(D50=0,"—",IF(E50&gt;=D50,"✅ OK","⚠️ Atenção"))</f>
        <v>⚠️ Atenção</v>
      </c>
      <c r="H50" s="133">
        <f t="shared" ref="H50:H58" ca="1" si="10">IFERROR(E50/D50,0)</f>
        <v>0</v>
      </c>
      <c r="I50" s="25"/>
    </row>
    <row r="51" spans="1:9" ht="19.5" customHeight="1">
      <c r="A51" s="25"/>
      <c r="B51" s="234" t="s">
        <v>50</v>
      </c>
      <c r="C51" s="234"/>
      <c r="D51" s="148">
        <f ca="1">IFERROR(IF('🎯 Metas'!I6="—",0,'🎯 Metas'!I6),0)</f>
        <v>0</v>
      </c>
      <c r="E51" s="147">
        <v>0</v>
      </c>
      <c r="F51" s="134">
        <f t="shared" ca="1" si="8"/>
        <v>0</v>
      </c>
      <c r="G51" s="135" t="str">
        <f t="shared" ca="1" si="9"/>
        <v>—</v>
      </c>
      <c r="H51" s="136">
        <f t="shared" ca="1" si="10"/>
        <v>0</v>
      </c>
      <c r="I51" s="25"/>
    </row>
    <row r="52" spans="1:9" ht="19.5" customHeight="1">
      <c r="A52" s="25"/>
      <c r="B52" s="237" t="s">
        <v>52</v>
      </c>
      <c r="C52" s="237"/>
      <c r="D52" s="146">
        <f ca="1">IFERROR(IF('🎯 Metas'!I7="—",0,'🎯 Metas'!I7),0)</f>
        <v>0</v>
      </c>
      <c r="E52" s="147">
        <v>0</v>
      </c>
      <c r="F52" s="131">
        <f t="shared" ca="1" si="8"/>
        <v>0</v>
      </c>
      <c r="G52" s="132" t="str">
        <f t="shared" ca="1" si="9"/>
        <v>—</v>
      </c>
      <c r="H52" s="133">
        <f t="shared" ca="1" si="10"/>
        <v>0</v>
      </c>
      <c r="I52" s="25"/>
    </row>
    <row r="53" spans="1:9" ht="19.5" customHeight="1">
      <c r="A53" s="25"/>
      <c r="B53" s="234" t="s">
        <v>54</v>
      </c>
      <c r="C53" s="234"/>
      <c r="D53" s="148">
        <f ca="1">IFERROR(IF('🎯 Metas'!I8="—",0,'🎯 Metas'!I8),0)</f>
        <v>0</v>
      </c>
      <c r="E53" s="147">
        <v>0</v>
      </c>
      <c r="F53" s="134">
        <f t="shared" ca="1" si="8"/>
        <v>0</v>
      </c>
      <c r="G53" s="135" t="str">
        <f t="shared" ca="1" si="9"/>
        <v>—</v>
      </c>
      <c r="H53" s="136">
        <f t="shared" ca="1" si="10"/>
        <v>0</v>
      </c>
      <c r="I53" s="25"/>
    </row>
    <row r="54" spans="1:9" ht="19.5" customHeight="1">
      <c r="A54" s="25"/>
      <c r="B54" s="237" t="s">
        <v>56</v>
      </c>
      <c r="C54" s="237"/>
      <c r="D54" s="146">
        <f ca="1">IFERROR(IF('🎯 Metas'!I9="—",0,'🎯 Metas'!I9),0)</f>
        <v>0</v>
      </c>
      <c r="E54" s="147">
        <v>0</v>
      </c>
      <c r="F54" s="131">
        <f t="shared" ca="1" si="8"/>
        <v>0</v>
      </c>
      <c r="G54" s="132" t="str">
        <f t="shared" ca="1" si="9"/>
        <v>—</v>
      </c>
      <c r="H54" s="133">
        <f t="shared" ca="1" si="10"/>
        <v>0</v>
      </c>
      <c r="I54" s="25"/>
    </row>
    <row r="55" spans="1:9" ht="19.5" customHeight="1">
      <c r="A55" s="25"/>
      <c r="B55" s="234" t="s">
        <v>58</v>
      </c>
      <c r="C55" s="234"/>
      <c r="D55" s="148">
        <f ca="1">IFERROR(IF('🎯 Metas'!I10="—",0,'🎯 Metas'!I10),0)</f>
        <v>0</v>
      </c>
      <c r="E55" s="147">
        <v>0</v>
      </c>
      <c r="F55" s="134">
        <f t="shared" ca="1" si="8"/>
        <v>0</v>
      </c>
      <c r="G55" s="135" t="str">
        <f t="shared" ca="1" si="9"/>
        <v>—</v>
      </c>
      <c r="H55" s="136">
        <f t="shared" ca="1" si="10"/>
        <v>0</v>
      </c>
    </row>
    <row r="56" spans="1:9" ht="19.5" customHeight="1">
      <c r="A56" s="25"/>
      <c r="B56" s="237" t="s">
        <v>60</v>
      </c>
      <c r="C56" s="237"/>
      <c r="D56" s="146">
        <f ca="1">IFERROR(IF('🎯 Metas'!I11="—",0,'🎯 Metas'!I11),0)</f>
        <v>0</v>
      </c>
      <c r="E56" s="147">
        <v>0</v>
      </c>
      <c r="F56" s="131">
        <f t="shared" ca="1" si="8"/>
        <v>0</v>
      </c>
      <c r="G56" s="132" t="str">
        <f t="shared" ca="1" si="9"/>
        <v>—</v>
      </c>
      <c r="H56" s="133">
        <f t="shared" ca="1" si="10"/>
        <v>0</v>
      </c>
    </row>
    <row r="57" spans="1:9" ht="19.5" customHeight="1">
      <c r="A57" s="25"/>
      <c r="B57" s="234" t="s">
        <v>61</v>
      </c>
      <c r="C57" s="234"/>
      <c r="D57" s="148">
        <f ca="1">IFERROR(IF('🎯 Metas'!I12="—",0,'🎯 Metas'!I12),0)</f>
        <v>0</v>
      </c>
      <c r="E57" s="147">
        <v>0</v>
      </c>
      <c r="F57" s="134">
        <f t="shared" ca="1" si="8"/>
        <v>0</v>
      </c>
      <c r="G57" s="135" t="str">
        <f t="shared" ca="1" si="9"/>
        <v>—</v>
      </c>
      <c r="H57" s="136">
        <f t="shared" ca="1" si="10"/>
        <v>0</v>
      </c>
    </row>
    <row r="58" spans="1:9" ht="21.75" customHeight="1">
      <c r="B58" s="235" t="s">
        <v>197</v>
      </c>
      <c r="C58" s="235"/>
      <c r="D58" s="149">
        <f ca="1">D50+D51+D52+D53+D54+D55+D56+D57</f>
        <v>500000</v>
      </c>
      <c r="E58" s="149">
        <f>E50+E51+E52+E53+E54+E55+E56+E57</f>
        <v>0</v>
      </c>
      <c r="F58" s="137">
        <f t="shared" ca="1" si="8"/>
        <v>-500000</v>
      </c>
      <c r="G58" s="8" t="str">
        <f ca="1">IF(E58&gt;=D58,"✅ OK","⚠️ Atenção")</f>
        <v>⚠️ Atenção</v>
      </c>
      <c r="H58" s="138">
        <f t="shared" ca="1" si="10"/>
        <v>0</v>
      </c>
    </row>
    <row r="59" spans="1:9" ht="7.5" customHeight="1">
      <c r="A59" s="25"/>
      <c r="B59" s="25"/>
      <c r="C59" s="25"/>
      <c r="D59" s="25"/>
      <c r="E59" s="25"/>
      <c r="F59" s="25"/>
      <c r="G59" s="25"/>
      <c r="H59" s="25"/>
    </row>
    <row r="60" spans="1:9" ht="27.75" customHeight="1">
      <c r="A60" s="47"/>
      <c r="B60" s="236" t="str">
        <f>IF('📊 Dashboard'!F71&gt;=0,"✅ MÊS POSITIVO — Saldo de ¥"&amp;TEXT('📊 Dashboard'!F71,"#,##0")&amp;". Parabéns!","🔴 MÊS NEGATIVO — Gastos superaram a renda em ¥"&amp;TEXT(ABS('📊 Dashboard'!F71),"#,##0")&amp;". Revise seus gastos.")</f>
        <v>✅ MÊS POSITIVO — Saldo de ¥317,428. Parabéns!</v>
      </c>
      <c r="C60" s="236"/>
      <c r="D60" s="236"/>
      <c r="E60" s="236"/>
      <c r="F60" s="236"/>
      <c r="G60" s="236"/>
      <c r="H60" s="236"/>
    </row>
  </sheetData>
  <mergeCells count="53">
    <mergeCell ref="B2:E2"/>
    <mergeCell ref="F2:H2"/>
    <mergeCell ref="B5:H5"/>
    <mergeCell ref="B6:C6"/>
    <mergeCell ref="B7:C7"/>
    <mergeCell ref="B8:C8"/>
    <mergeCell ref="B9:C9"/>
    <mergeCell ref="B10:C10"/>
    <mergeCell ref="B11:C11"/>
    <mergeCell ref="B13:H13"/>
    <mergeCell ref="B14:H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1:H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4:H44"/>
    <mergeCell ref="B45:C45"/>
    <mergeCell ref="B46:C46"/>
    <mergeCell ref="B47:C47"/>
    <mergeCell ref="B49:H49"/>
    <mergeCell ref="B50:C50"/>
    <mergeCell ref="B51:C51"/>
    <mergeCell ref="B57:C57"/>
    <mergeCell ref="B58:C58"/>
    <mergeCell ref="B60:H60"/>
    <mergeCell ref="B52:C52"/>
    <mergeCell ref="B53:C53"/>
    <mergeCell ref="B54:C54"/>
    <mergeCell ref="B55:C55"/>
    <mergeCell ref="B56:C56"/>
  </mergeCells>
  <phoneticPr fontId="84"/>
  <conditionalFormatting sqref="F6:F60">
    <cfRule type="expression" dxfId="2" priority="2">
      <formula>F6&gt;=0</formula>
    </cfRule>
    <cfRule type="expression" dxfId="1" priority="3">
      <formula>F6&lt;0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B5CF6"/>
  </sheetPr>
  <dimension ref="A1:I39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E23" sqref="E23"/>
    </sheetView>
  </sheetViews>
  <sheetFormatPr defaultColWidth="8.6640625" defaultRowHeight="14.4"/>
  <cols>
    <col min="1" max="1" width="2" customWidth="1"/>
    <col min="2" max="2" width="26" customWidth="1"/>
    <col min="3" max="5" width="16" customWidth="1"/>
    <col min="6" max="6" width="12" customWidth="1"/>
    <col min="7" max="7" width="14" customWidth="1"/>
    <col min="8" max="8" width="16" customWidth="1"/>
    <col min="9" max="9" width="20" customWidth="1"/>
  </cols>
  <sheetData>
    <row r="1" spans="1:9" ht="6" customHeight="1">
      <c r="A1" s="4"/>
      <c r="B1" s="4"/>
      <c r="C1" s="4"/>
      <c r="D1" s="4"/>
      <c r="E1" s="4"/>
      <c r="F1" s="4"/>
      <c r="G1" s="4"/>
      <c r="H1" s="4"/>
      <c r="I1" s="25"/>
    </row>
    <row r="2" spans="1:9" ht="25.5" customHeight="1">
      <c r="A2" s="4"/>
      <c r="B2" s="197" t="s">
        <v>198</v>
      </c>
      <c r="C2" s="197"/>
      <c r="D2" s="197"/>
      <c r="E2" s="197"/>
      <c r="F2" s="197"/>
      <c r="G2" s="197"/>
      <c r="H2" s="197"/>
      <c r="I2" s="25"/>
    </row>
    <row r="3" spans="1:9" ht="6" customHeight="1">
      <c r="A3" s="4"/>
      <c r="B3" s="4"/>
      <c r="C3" s="4"/>
      <c r="D3" s="4"/>
      <c r="E3" s="4"/>
      <c r="F3" s="4"/>
      <c r="G3" s="4"/>
      <c r="H3" s="4"/>
      <c r="I3" s="25"/>
    </row>
    <row r="4" spans="1:9" ht="19.5" customHeight="1">
      <c r="A4" s="25"/>
      <c r="B4" s="8" t="s">
        <v>199</v>
      </c>
      <c r="C4" s="8" t="s">
        <v>200</v>
      </c>
      <c r="D4" s="8" t="s">
        <v>201</v>
      </c>
      <c r="E4" s="8" t="s">
        <v>202</v>
      </c>
      <c r="F4" s="8" t="s">
        <v>203</v>
      </c>
      <c r="G4" s="8" t="s">
        <v>204</v>
      </c>
      <c r="H4" s="8" t="s">
        <v>205</v>
      </c>
      <c r="I4" s="8" t="s">
        <v>206</v>
      </c>
    </row>
    <row r="5" spans="1:9" ht="21.75" customHeight="1">
      <c r="A5" s="25"/>
      <c r="B5" s="150" t="s">
        <v>46</v>
      </c>
      <c r="C5" s="151">
        <v>500000</v>
      </c>
      <c r="D5" s="152">
        <v>0</v>
      </c>
      <c r="E5" s="153">
        <f t="shared" ref="E5:E12" si="0">MAX(C5-D5,0)</f>
        <v>500000</v>
      </c>
      <c r="F5" s="117" t="s">
        <v>207</v>
      </c>
      <c r="G5" s="154">
        <f t="shared" ref="G5:G12" si="1">IFERROR(D5/C5,0)</f>
        <v>0</v>
      </c>
      <c r="H5" s="132" t="s">
        <v>208</v>
      </c>
      <c r="I5" s="155">
        <f t="shared" ref="I5:I12" ca="1" si="2">IFERROR(IF(OR(F5="-",F5=""),"—",CEILING(MAX(E5,0)/MAX((VALUE(LEFT(F5,4))-YEAR(TODAY()))*12+VALUE(MID(F5,6,2))-MONTH(TODAY()),1),1)),"-")</f>
        <v>500000</v>
      </c>
    </row>
    <row r="6" spans="1:9" ht="21.75" customHeight="1">
      <c r="A6" s="25"/>
      <c r="B6" s="196" t="s">
        <v>257</v>
      </c>
      <c r="C6" s="157">
        <v>0</v>
      </c>
      <c r="D6" s="158">
        <v>0</v>
      </c>
      <c r="E6" s="159">
        <f t="shared" si="0"/>
        <v>0</v>
      </c>
      <c r="F6" s="122" t="s">
        <v>209</v>
      </c>
      <c r="G6" s="160">
        <f t="shared" si="1"/>
        <v>0</v>
      </c>
      <c r="H6" s="135" t="s">
        <v>210</v>
      </c>
      <c r="I6" s="161">
        <f t="shared" ca="1" si="2"/>
        <v>0</v>
      </c>
    </row>
    <row r="7" spans="1:9" ht="21.75" customHeight="1">
      <c r="A7" s="25"/>
      <c r="B7" s="150" t="s">
        <v>52</v>
      </c>
      <c r="C7" s="151">
        <v>0</v>
      </c>
      <c r="D7" s="152">
        <v>0</v>
      </c>
      <c r="E7" s="153">
        <f t="shared" si="0"/>
        <v>0</v>
      </c>
      <c r="F7" s="117" t="s">
        <v>211</v>
      </c>
      <c r="G7" s="154">
        <f t="shared" si="1"/>
        <v>0</v>
      </c>
      <c r="H7" s="132" t="s">
        <v>212</v>
      </c>
      <c r="I7" s="155">
        <f t="shared" ca="1" si="2"/>
        <v>0</v>
      </c>
    </row>
    <row r="8" spans="1:9" ht="21.75" customHeight="1">
      <c r="A8" s="25"/>
      <c r="B8" s="156" t="s">
        <v>54</v>
      </c>
      <c r="C8" s="157">
        <v>0</v>
      </c>
      <c r="D8" s="158">
        <v>0</v>
      </c>
      <c r="E8" s="159">
        <f t="shared" si="0"/>
        <v>0</v>
      </c>
      <c r="F8" s="122" t="s">
        <v>213</v>
      </c>
      <c r="G8" s="160">
        <f t="shared" si="1"/>
        <v>0</v>
      </c>
      <c r="H8" s="135" t="s">
        <v>210</v>
      </c>
      <c r="I8" s="161">
        <f t="shared" ca="1" si="2"/>
        <v>0</v>
      </c>
    </row>
    <row r="9" spans="1:9" ht="21.75" customHeight="1">
      <c r="A9" s="25"/>
      <c r="B9" s="150" t="s">
        <v>56</v>
      </c>
      <c r="C9" s="151">
        <v>0</v>
      </c>
      <c r="D9" s="152">
        <v>0</v>
      </c>
      <c r="E9" s="153">
        <f t="shared" si="0"/>
        <v>0</v>
      </c>
      <c r="F9" s="117" t="s">
        <v>214</v>
      </c>
      <c r="G9" s="154">
        <f t="shared" si="1"/>
        <v>0</v>
      </c>
      <c r="H9" s="132" t="s">
        <v>210</v>
      </c>
      <c r="I9" s="155">
        <f t="shared" ca="1" si="2"/>
        <v>0</v>
      </c>
    </row>
    <row r="10" spans="1:9" ht="21.75" customHeight="1">
      <c r="A10" s="25"/>
      <c r="B10" s="156" t="s">
        <v>58</v>
      </c>
      <c r="C10" s="157">
        <v>0</v>
      </c>
      <c r="D10" s="158">
        <v>0</v>
      </c>
      <c r="E10" s="159">
        <f t="shared" si="0"/>
        <v>0</v>
      </c>
      <c r="F10" s="122" t="s">
        <v>174</v>
      </c>
      <c r="G10" s="160">
        <f t="shared" si="1"/>
        <v>0</v>
      </c>
      <c r="H10" s="135" t="s">
        <v>208</v>
      </c>
      <c r="I10" s="161" t="str">
        <f t="shared" ca="1" si="2"/>
        <v>—</v>
      </c>
    </row>
    <row r="11" spans="1:9" ht="21.75" customHeight="1">
      <c r="A11" s="25"/>
      <c r="B11" s="150" t="s">
        <v>60</v>
      </c>
      <c r="C11" s="151">
        <v>0</v>
      </c>
      <c r="D11" s="152">
        <v>0</v>
      </c>
      <c r="E11" s="153">
        <f t="shared" si="0"/>
        <v>0</v>
      </c>
      <c r="F11" s="117" t="s">
        <v>174</v>
      </c>
      <c r="G11" s="154">
        <f t="shared" si="1"/>
        <v>0</v>
      </c>
      <c r="H11" s="132" t="s">
        <v>212</v>
      </c>
      <c r="I11" s="155" t="str">
        <f t="shared" ca="1" si="2"/>
        <v>—</v>
      </c>
    </row>
    <row r="12" spans="1:9" ht="21.75" customHeight="1">
      <c r="A12" s="25"/>
      <c r="B12" s="156" t="s">
        <v>61</v>
      </c>
      <c r="C12" s="157">
        <v>0</v>
      </c>
      <c r="D12" s="158">
        <v>0</v>
      </c>
      <c r="E12" s="159">
        <f t="shared" si="0"/>
        <v>0</v>
      </c>
      <c r="F12" s="122" t="s">
        <v>174</v>
      </c>
      <c r="G12" s="160">
        <f t="shared" si="1"/>
        <v>0</v>
      </c>
      <c r="H12" s="135" t="s">
        <v>212</v>
      </c>
      <c r="I12" s="161" t="str">
        <f t="shared" ca="1" si="2"/>
        <v>—</v>
      </c>
    </row>
    <row r="13" spans="1:9" ht="15" customHeight="1">
      <c r="A13" s="25"/>
      <c r="B13" s="25"/>
      <c r="C13" s="25"/>
      <c r="D13" s="25"/>
      <c r="E13" s="25"/>
      <c r="F13" s="25"/>
      <c r="G13" s="25"/>
      <c r="H13" s="25"/>
      <c r="I13" s="25"/>
    </row>
    <row r="14" spans="1:9" ht="9.75" customHeight="1">
      <c r="A14" s="25"/>
      <c r="B14" s="25"/>
      <c r="C14" s="25"/>
      <c r="D14" s="25"/>
      <c r="E14" s="25"/>
      <c r="F14" s="25"/>
      <c r="G14" s="25"/>
      <c r="H14" s="25"/>
      <c r="I14" s="25"/>
    </row>
    <row r="15" spans="1:9" ht="21.75" customHeight="1">
      <c r="A15" s="25"/>
      <c r="B15" s="1" t="s">
        <v>215</v>
      </c>
      <c r="C15" s="162">
        <f>SUM(C5:C12)</f>
        <v>500000</v>
      </c>
      <c r="D15" s="163">
        <f>SUM(D5:D12)</f>
        <v>0</v>
      </c>
      <c r="E15" s="164">
        <f>C15-D15</f>
        <v>500000</v>
      </c>
      <c r="F15" s="47"/>
      <c r="G15" s="47"/>
      <c r="H15" s="47"/>
      <c r="I15" s="25"/>
    </row>
    <row r="16" spans="1:9" ht="15" customHeight="1">
      <c r="A16" s="25"/>
      <c r="B16" s="25"/>
      <c r="C16" s="25"/>
      <c r="D16" s="25"/>
      <c r="E16" s="25"/>
      <c r="F16" s="25"/>
      <c r="G16" s="25"/>
      <c r="H16" s="25"/>
      <c r="I16" s="25"/>
    </row>
    <row r="17" spans="1:9" ht="15" customHeight="1">
      <c r="A17" s="25"/>
      <c r="B17" s="25"/>
      <c r="C17" s="25"/>
      <c r="D17" s="25"/>
      <c r="E17" s="25"/>
      <c r="F17" s="25"/>
      <c r="G17" s="25"/>
      <c r="H17" s="25"/>
      <c r="I17" s="25"/>
    </row>
    <row r="18" spans="1:9" ht="15" customHeight="1">
      <c r="A18" s="25"/>
      <c r="B18" s="25"/>
      <c r="C18" s="25"/>
      <c r="D18" s="25"/>
      <c r="E18" s="25"/>
      <c r="F18" s="25"/>
      <c r="G18" s="25"/>
      <c r="H18" s="25"/>
      <c r="I18" s="25"/>
    </row>
    <row r="19" spans="1:9" ht="15" customHeight="1">
      <c r="A19" s="25"/>
      <c r="B19" s="25"/>
      <c r="C19" s="25"/>
      <c r="D19" s="25"/>
      <c r="E19" s="25"/>
      <c r="F19" s="25"/>
      <c r="G19" s="25"/>
      <c r="H19" s="25"/>
      <c r="I19" s="25"/>
    </row>
    <row r="20" spans="1:9" ht="15" customHeight="1">
      <c r="A20" s="25"/>
      <c r="B20" s="25"/>
      <c r="C20" s="25"/>
      <c r="D20" s="25"/>
      <c r="E20" s="25"/>
      <c r="F20" s="25"/>
      <c r="G20" s="25"/>
      <c r="H20" s="25"/>
      <c r="I20" s="25"/>
    </row>
    <row r="21" spans="1:9" ht="15" customHeight="1">
      <c r="A21" s="25"/>
      <c r="B21" s="25"/>
      <c r="C21" s="25"/>
      <c r="D21" s="25"/>
      <c r="E21" s="25"/>
      <c r="F21" s="25"/>
      <c r="G21" s="25"/>
      <c r="H21" s="25"/>
      <c r="I21" s="25"/>
    </row>
    <row r="22" spans="1:9" ht="15" customHeight="1">
      <c r="A22" s="25"/>
      <c r="B22" s="25"/>
      <c r="C22" s="25"/>
      <c r="D22" s="25"/>
      <c r="E22" s="25"/>
      <c r="F22" s="25"/>
      <c r="G22" s="25"/>
      <c r="H22" s="25"/>
      <c r="I22" s="25"/>
    </row>
    <row r="23" spans="1:9" ht="15" customHeight="1">
      <c r="A23" s="25"/>
      <c r="B23" s="25"/>
      <c r="C23" s="25"/>
      <c r="D23" s="25"/>
      <c r="E23" s="25"/>
      <c r="F23" s="25"/>
      <c r="G23" s="25"/>
      <c r="H23" s="25"/>
      <c r="I23" s="25"/>
    </row>
    <row r="24" spans="1:9" ht="15" customHeight="1">
      <c r="A24" s="25"/>
      <c r="B24" s="25"/>
      <c r="C24" s="25"/>
      <c r="D24" s="25"/>
      <c r="E24" s="25"/>
      <c r="F24" s="25"/>
      <c r="G24" s="25"/>
      <c r="H24" s="25"/>
      <c r="I24" s="25"/>
    </row>
    <row r="25" spans="1:9" ht="15" customHeight="1">
      <c r="A25" s="25"/>
      <c r="B25" s="25"/>
      <c r="C25" s="25"/>
      <c r="D25" s="25"/>
      <c r="E25" s="25"/>
      <c r="F25" s="25"/>
      <c r="G25" s="25"/>
      <c r="H25" s="25"/>
      <c r="I25" s="25"/>
    </row>
    <row r="26" spans="1:9" ht="15" customHeight="1">
      <c r="A26" s="25"/>
      <c r="B26" s="25"/>
      <c r="C26" s="25"/>
      <c r="D26" s="25"/>
      <c r="E26" s="25"/>
      <c r="F26" s="25"/>
      <c r="G26" s="25"/>
      <c r="H26" s="25"/>
      <c r="I26" s="25"/>
    </row>
    <row r="27" spans="1:9" ht="15" customHeight="1">
      <c r="A27" s="25"/>
      <c r="B27" s="25"/>
      <c r="C27" s="25"/>
      <c r="D27" s="25"/>
      <c r="E27" s="25"/>
      <c r="F27" s="25"/>
      <c r="G27" s="25"/>
      <c r="H27" s="25"/>
      <c r="I27" s="25"/>
    </row>
    <row r="28" spans="1:9" ht="15" customHeight="1">
      <c r="A28" s="25"/>
      <c r="B28" s="25"/>
      <c r="C28" s="25"/>
      <c r="D28" s="25"/>
      <c r="E28" s="25"/>
      <c r="F28" s="25"/>
      <c r="G28" s="25"/>
      <c r="H28" s="25"/>
      <c r="I28" s="25"/>
    </row>
    <row r="29" spans="1:9" ht="15" customHeight="1">
      <c r="A29" s="25"/>
      <c r="B29" s="25"/>
      <c r="C29" s="25"/>
      <c r="D29" s="25"/>
      <c r="E29" s="25"/>
      <c r="F29" s="25"/>
      <c r="G29" s="25"/>
      <c r="H29" s="25"/>
      <c r="I29" s="25"/>
    </row>
    <row r="30" spans="1:9" ht="15" customHeight="1">
      <c r="A30" s="25"/>
      <c r="B30" s="25"/>
      <c r="C30" s="25"/>
      <c r="D30" s="25"/>
      <c r="E30" s="25"/>
      <c r="F30" s="25"/>
      <c r="G30" s="25"/>
      <c r="H30" s="25"/>
      <c r="I30" s="25"/>
    </row>
    <row r="31" spans="1:9" ht="15" customHeight="1">
      <c r="A31" s="25"/>
      <c r="B31" s="25"/>
      <c r="C31" s="25"/>
      <c r="D31" s="25"/>
      <c r="E31" s="25"/>
      <c r="F31" s="25"/>
      <c r="G31" s="25"/>
      <c r="H31" s="25"/>
      <c r="I31" s="25"/>
    </row>
    <row r="32" spans="1:9" ht="15" customHeight="1">
      <c r="A32" s="25"/>
      <c r="B32" s="25"/>
      <c r="C32" s="25"/>
      <c r="D32" s="25"/>
      <c r="E32" s="25"/>
      <c r="F32" s="25"/>
      <c r="G32" s="25"/>
      <c r="H32" s="25"/>
      <c r="I32" s="25"/>
    </row>
    <row r="33" spans="1:9" ht="15" customHeight="1">
      <c r="A33" s="25"/>
      <c r="B33" s="25"/>
      <c r="C33" s="25"/>
      <c r="D33" s="25"/>
      <c r="E33" s="25"/>
      <c r="F33" s="25"/>
      <c r="G33" s="25"/>
      <c r="H33" s="25"/>
      <c r="I33" s="25"/>
    </row>
    <row r="34" spans="1:9" ht="15" customHeight="1">
      <c r="A34" s="25"/>
      <c r="B34" s="25"/>
      <c r="C34" s="25"/>
      <c r="D34" s="25"/>
      <c r="E34" s="25"/>
      <c r="F34" s="25"/>
      <c r="G34" s="25"/>
      <c r="H34" s="25"/>
      <c r="I34" s="25"/>
    </row>
    <row r="35" spans="1:9" ht="15" customHeight="1">
      <c r="A35" s="25"/>
      <c r="B35" s="25"/>
      <c r="C35" s="25"/>
      <c r="D35" s="25"/>
      <c r="E35" s="25"/>
      <c r="F35" s="25"/>
      <c r="G35" s="25"/>
      <c r="H35" s="25"/>
      <c r="I35" s="25"/>
    </row>
    <row r="36" spans="1:9" ht="15" customHeight="1">
      <c r="A36" s="25"/>
      <c r="B36" s="25"/>
      <c r="C36" s="25"/>
      <c r="D36" s="25"/>
      <c r="E36" s="25"/>
      <c r="F36" s="25"/>
      <c r="G36" s="25"/>
      <c r="H36" s="25"/>
      <c r="I36" s="25"/>
    </row>
    <row r="37" spans="1:9" ht="15" customHeight="1">
      <c r="A37" s="25"/>
      <c r="B37" s="25"/>
      <c r="C37" s="25"/>
      <c r="D37" s="25"/>
      <c r="E37" s="25"/>
      <c r="F37" s="25"/>
      <c r="G37" s="25"/>
      <c r="H37" s="25"/>
      <c r="I37" s="25"/>
    </row>
    <row r="38" spans="1:9" ht="15" customHeight="1">
      <c r="A38" s="25"/>
      <c r="B38" s="25"/>
      <c r="C38" s="25"/>
      <c r="D38" s="25"/>
      <c r="E38" s="25"/>
      <c r="F38" s="25"/>
      <c r="G38" s="25"/>
      <c r="H38" s="25"/>
      <c r="I38" s="25"/>
    </row>
    <row r="39" spans="1:9" ht="15" customHeight="1">
      <c r="A39" s="25"/>
      <c r="B39" s="25"/>
      <c r="C39" s="25"/>
      <c r="D39" s="25"/>
      <c r="E39" s="25"/>
      <c r="F39" s="25"/>
      <c r="G39" s="25"/>
      <c r="H39" s="25"/>
      <c r="I39" s="25"/>
    </row>
  </sheetData>
  <mergeCells count="1">
    <mergeCell ref="B2:H2"/>
  </mergeCells>
  <phoneticPr fontId="84"/>
  <conditionalFormatting sqref="G5:G20">
    <cfRule type="dataBar" priority="2">
      <dataBar>
        <cfvo type="num" val="0"/>
        <cfvo type="num" val="1"/>
        <color rgb="FF7C3AED"/>
      </dataBar>
      <extLst>
        <ext xmlns:x14="http://schemas.microsoft.com/office/spreadsheetml/2009/9/main" uri="{B025F937-C7B1-47D3-B67F-A62EFF666E3E}">
          <x14:id>{9D9F5974-6670-4530-B85E-ACB1F211A4AE}</x14:id>
        </ext>
      </extLst>
    </cfRule>
    <cfRule type="expression" dxfId="0" priority="3">
      <formula>G5&gt;=1</formula>
    </cfRule>
  </conditionalFormatting>
  <dataValidations count="1">
    <dataValidation type="list" allowBlank="1" showErrorMessage="1" errorTitle="Valor inválido" error="Selecione uma opção válida" sqref="H5:H20" xr:uid="{00000000-0002-0000-0500-000000000000}">
      <formula1>"🔴 Alta,🟡 Média,🟢 Baixa"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D9F5974-6670-4530-B85E-ACB1F211A4AE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7C3AED"/>
            </x14:dataBar>
          </x14:cfRule>
          <xm:sqref>G5:G20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39C5CF"/>
  </sheetPr>
  <dimension ref="A1:O49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ColWidth="8.6640625" defaultRowHeight="14.4"/>
  <cols>
    <col min="1" max="1" width="1" customWidth="1"/>
    <col min="2" max="2" width="22" customWidth="1"/>
    <col min="3" max="15" width="14" customWidth="1"/>
    <col min="16" max="16" width="1" customWidth="1"/>
  </cols>
  <sheetData>
    <row r="1" spans="1:15" ht="6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25.5" customHeight="1">
      <c r="A2" s="4"/>
      <c r="B2" s="256" t="s">
        <v>216</v>
      </c>
      <c r="C2" s="256"/>
      <c r="D2" s="256"/>
      <c r="E2" s="256"/>
      <c r="F2" s="256"/>
      <c r="G2" s="256"/>
      <c r="H2" s="256"/>
      <c r="I2" s="256"/>
      <c r="J2" s="256"/>
      <c r="K2" s="256"/>
      <c r="L2" s="256"/>
      <c r="M2" s="256"/>
      <c r="N2" s="256"/>
      <c r="O2" s="256"/>
    </row>
    <row r="3" spans="1:15" ht="6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165">
        <v>2025</v>
      </c>
      <c r="O3" s="4"/>
    </row>
    <row r="4" spans="1:15" ht="6" customHeight="1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</row>
    <row r="5" spans="1:15" ht="19.5" customHeight="1">
      <c r="A5" s="25"/>
      <c r="B5" s="166" t="s">
        <v>100</v>
      </c>
      <c r="C5" s="8" t="s">
        <v>217</v>
      </c>
      <c r="D5" s="8" t="s">
        <v>218</v>
      </c>
      <c r="E5" s="8" t="s">
        <v>219</v>
      </c>
      <c r="F5" s="8" t="s">
        <v>220</v>
      </c>
      <c r="G5" s="8" t="s">
        <v>221</v>
      </c>
      <c r="H5" s="8" t="s">
        <v>222</v>
      </c>
      <c r="I5" s="8" t="s">
        <v>223</v>
      </c>
      <c r="J5" s="8" t="s">
        <v>107</v>
      </c>
      <c r="K5" s="8" t="s">
        <v>108</v>
      </c>
      <c r="L5" s="8" t="s">
        <v>109</v>
      </c>
      <c r="M5" s="8" t="s">
        <v>110</v>
      </c>
      <c r="N5" s="8" t="s">
        <v>111</v>
      </c>
      <c r="O5" s="8" t="s">
        <v>224</v>
      </c>
    </row>
    <row r="6" spans="1:15" ht="15.75" customHeight="1">
      <c r="A6" s="25"/>
      <c r="B6" s="257" t="s">
        <v>225</v>
      </c>
      <c r="C6" s="257"/>
      <c r="D6" s="257"/>
      <c r="E6" s="257"/>
      <c r="F6" s="257"/>
      <c r="G6" s="257"/>
      <c r="H6" s="257"/>
      <c r="I6" s="257"/>
      <c r="J6" s="257"/>
      <c r="K6" s="257"/>
      <c r="L6" s="257"/>
      <c r="M6" s="257"/>
      <c r="N6" s="257"/>
      <c r="O6" s="257"/>
    </row>
    <row r="7" spans="1:15" ht="19.5" customHeight="1">
      <c r="A7" s="25"/>
      <c r="B7" s="88" t="s">
        <v>7</v>
      </c>
      <c r="C7" s="89">
        <f>SUMIFS('📋 Movimentações'!$F$15:$F$514,'📋 Movimentações'!$B$15:$B$514,"&gt;="&amp;DATE($N$3,1,1),'📋 Movimentações'!$B$15:$B$514,"&lt;="&amp;EOMONTH(DATE($N$3,1,1),0),'📋 Movimentações'!$E$15:$E$514,"Entrada",'📋 Movimentações'!$D$15:$D$514,"Salário")</f>
        <v>0</v>
      </c>
      <c r="D7" s="89">
        <f>SUMIFS('📋 Movimentações'!$F$15:$F$514,'📋 Movimentações'!$B$15:$B$514,"&gt;="&amp;DATE($N$3,2,1),'📋 Movimentações'!$B$15:$B$514,"&lt;="&amp;EOMONTH(DATE($N$3,2,1),0),'📋 Movimentações'!$E$15:$E$514,"Entrada",'📋 Movimentações'!$D$15:$D$514,"Salário")</f>
        <v>0</v>
      </c>
      <c r="E7" s="89">
        <f>SUMIFS('📋 Movimentações'!$F$15:$F$514,'📋 Movimentações'!$B$15:$B$514,"&gt;="&amp;DATE($N$3,3,1),'📋 Movimentações'!$B$15:$B$514,"&lt;="&amp;EOMONTH(DATE($N$3,3,1),0),'📋 Movimentações'!$E$15:$E$514,"Entrada",'📋 Movimentações'!$D$15:$D$514,"Salário")</f>
        <v>0</v>
      </c>
      <c r="F7" s="89">
        <f>SUMIFS('📋 Movimentações'!$F$15:$F$514,'📋 Movimentações'!$B$15:$B$514,"&gt;="&amp;DATE($N$3,4,1),'📋 Movimentações'!$B$15:$B$514,"&lt;="&amp;EOMONTH(DATE($N$3,4,1),0),'📋 Movimentações'!$E$15:$E$514,"Entrada",'📋 Movimentações'!$D$15:$D$514,"Salário")</f>
        <v>0</v>
      </c>
      <c r="G7" s="89">
        <f>SUMIFS('📋 Movimentações'!$F$15:$F$514,'📋 Movimentações'!$B$15:$B$514,"&gt;="&amp;DATE($N$3,5,1),'📋 Movimentações'!$B$15:$B$514,"&lt;="&amp;EOMONTH(DATE($N$3,5,1),0),'📋 Movimentações'!$E$15:$E$514,"Entrada",'📋 Movimentações'!$D$15:$D$514,"Salário")</f>
        <v>374000</v>
      </c>
      <c r="H7" s="89">
        <f>SUMIFS('📋 Movimentações'!$F$15:$F$514,'📋 Movimentações'!$B$15:$B$514,"&gt;="&amp;DATE($N$3,6,1),'📋 Movimentações'!$B$15:$B$514,"&lt;="&amp;EOMONTH(DATE($N$3,6,1),0),'📋 Movimentações'!$E$15:$E$514,"Entrada",'📋 Movimentações'!$D$15:$D$514,"Salário")</f>
        <v>0</v>
      </c>
      <c r="I7" s="89">
        <f>SUMIFS('📋 Movimentações'!$F$15:$F$514,'📋 Movimentações'!$B$15:$B$514,"&gt;="&amp;DATE($N$3,7,1),'📋 Movimentações'!$B$15:$B$514,"&lt;="&amp;EOMONTH(DATE($N$3,7,1),0),'📋 Movimentações'!$E$15:$E$514,"Entrada",'📋 Movimentações'!$D$15:$D$514,"Salário")</f>
        <v>0</v>
      </c>
      <c r="J7" s="89">
        <f>SUMIFS('📋 Movimentações'!$F$15:$F$514,'📋 Movimentações'!$B$15:$B$514,"&gt;="&amp;DATE($N$3,8,1),'📋 Movimentações'!$B$15:$B$514,"&lt;="&amp;EOMONTH(DATE($N$3,8,1),0),'📋 Movimentações'!$E$15:$E$514,"Entrada",'📋 Movimentações'!$D$15:$D$514,"Salário")</f>
        <v>0</v>
      </c>
      <c r="K7" s="89">
        <f>SUMIFS('📋 Movimentações'!$F$15:$F$514,'📋 Movimentações'!$B$15:$B$514,"&gt;="&amp;DATE($N$3,9,1),'📋 Movimentações'!$B$15:$B$514,"&lt;="&amp;EOMONTH(DATE($N$3,9,1),0),'📋 Movimentações'!$E$15:$E$514,"Entrada",'📋 Movimentações'!$D$15:$D$514,"Salário")</f>
        <v>0</v>
      </c>
      <c r="L7" s="89">
        <f>SUMIFS('📋 Movimentações'!$F$15:$F$514,'📋 Movimentações'!$B$15:$B$514,"&gt;="&amp;DATE($N$3,10,1),'📋 Movimentações'!$B$15:$B$514,"&lt;="&amp;EOMONTH(DATE($N$3,10,1),0),'📋 Movimentações'!$E$15:$E$514,"Entrada",'📋 Movimentações'!$D$15:$D$514,"Salário")</f>
        <v>0</v>
      </c>
      <c r="M7" s="89">
        <f>SUMIFS('📋 Movimentações'!$F$15:$F$514,'📋 Movimentações'!$B$15:$B$514,"&gt;="&amp;DATE($N$3,11,1),'📋 Movimentações'!$B$15:$B$514,"&lt;="&amp;EOMONTH(DATE($N$3,11,1),0),'📋 Movimentações'!$E$15:$E$514,"Entrada",'📋 Movimentações'!$D$15:$D$514,"Salário")</f>
        <v>0</v>
      </c>
      <c r="N7" s="89">
        <f>SUMIFS('📋 Movimentações'!$F$15:$F$514,'📋 Movimentações'!$B$15:$B$514,"&gt;="&amp;DATE($N$3,12,1),'📋 Movimentações'!$B$15:$B$514,"&lt;="&amp;EOMONTH(DATE($N$3,12,1),0),'📋 Movimentações'!$E$15:$E$514,"Entrada",'📋 Movimentações'!$D$15:$D$514,"Salário")</f>
        <v>0</v>
      </c>
      <c r="O7" s="167">
        <f>SUM(C7,D7,E7,F7,G7,H7,I7,J7,K7,L7,M7,N7)</f>
        <v>374000</v>
      </c>
    </row>
    <row r="8" spans="1:15" ht="19.5" customHeight="1">
      <c r="A8" s="25"/>
      <c r="B8" s="88" t="s">
        <v>10</v>
      </c>
      <c r="C8" s="89">
        <f>SUMIFS('📋 Movimentações'!$F$15:$F$514,'📋 Movimentações'!$B$15:$B$514,"&gt;="&amp;DATE($N$3,1,1),'📋 Movimentações'!$B$15:$B$514,"&lt;="&amp;EOMONTH(DATE($N$3,1,1),0),'📋 Movimentações'!$E$15:$E$514,"Entrada",'📋 Movimentações'!$D$15:$D$514,"Hora Extra")</f>
        <v>0</v>
      </c>
      <c r="D8" s="89">
        <f>SUMIFS('📋 Movimentações'!$F$15:$F$514,'📋 Movimentações'!$B$15:$B$514,"&gt;="&amp;DATE($N$3,2,1),'📋 Movimentações'!$B$15:$B$514,"&lt;="&amp;EOMONTH(DATE($N$3,2,1),0),'📋 Movimentações'!$E$15:$E$514,"Entrada",'📋 Movimentações'!$D$15:$D$514,"Hora Extra")</f>
        <v>0</v>
      </c>
      <c r="E8" s="89">
        <f>SUMIFS('📋 Movimentações'!$F$15:$F$514,'📋 Movimentações'!$B$15:$B$514,"&gt;="&amp;DATE($N$3,3,1),'📋 Movimentações'!$B$15:$B$514,"&lt;="&amp;EOMONTH(DATE($N$3,3,1),0),'📋 Movimentações'!$E$15:$E$514,"Entrada",'📋 Movimentações'!$D$15:$D$514,"Hora Extra")</f>
        <v>0</v>
      </c>
      <c r="F8" s="89">
        <f>SUMIFS('📋 Movimentações'!$F$15:$F$514,'📋 Movimentações'!$B$15:$B$514,"&gt;="&amp;DATE($N$3,4,1),'📋 Movimentações'!$B$15:$B$514,"&lt;="&amp;EOMONTH(DATE($N$3,4,1),0),'📋 Movimentações'!$E$15:$E$514,"Entrada",'📋 Movimentações'!$D$15:$D$514,"Hora Extra")</f>
        <v>0</v>
      </c>
      <c r="G8" s="89">
        <f>SUMIFS('📋 Movimentações'!$F$15:$F$514,'📋 Movimentações'!$B$15:$B$514,"&gt;="&amp;DATE($N$3,5,1),'📋 Movimentações'!$B$15:$B$514,"&lt;="&amp;EOMONTH(DATE($N$3,5,1),0),'📋 Movimentações'!$E$15:$E$514,"Entrada",'📋 Movimentações'!$D$15:$D$514,"Hora Extra")</f>
        <v>0</v>
      </c>
      <c r="H8" s="89">
        <f>SUMIFS('📋 Movimentações'!$F$15:$F$514,'📋 Movimentações'!$B$15:$B$514,"&gt;="&amp;DATE($N$3,6,1),'📋 Movimentações'!$B$15:$B$514,"&lt;="&amp;EOMONTH(DATE($N$3,6,1),0),'📋 Movimentações'!$E$15:$E$514,"Entrada",'📋 Movimentações'!$D$15:$D$514,"Hora Extra")</f>
        <v>0</v>
      </c>
      <c r="I8" s="89">
        <f>SUMIFS('📋 Movimentações'!$F$15:$F$514,'📋 Movimentações'!$B$15:$B$514,"&gt;="&amp;DATE($N$3,7,1),'📋 Movimentações'!$B$15:$B$514,"&lt;="&amp;EOMONTH(DATE($N$3,7,1),0),'📋 Movimentações'!$E$15:$E$514,"Entrada",'📋 Movimentações'!$D$15:$D$514,"Hora Extra")</f>
        <v>0</v>
      </c>
      <c r="J8" s="89">
        <f>SUMIFS('📋 Movimentações'!$F$15:$F$514,'📋 Movimentações'!$B$15:$B$514,"&gt;="&amp;DATE($N$3,8,1),'📋 Movimentações'!$B$15:$B$514,"&lt;="&amp;EOMONTH(DATE($N$3,8,1),0),'📋 Movimentações'!$E$15:$E$514,"Entrada",'📋 Movimentações'!$D$15:$D$514,"Hora Extra")</f>
        <v>0</v>
      </c>
      <c r="K8" s="89">
        <f>SUMIFS('📋 Movimentações'!$F$15:$F$514,'📋 Movimentações'!$B$15:$B$514,"&gt;="&amp;DATE($N$3,9,1),'📋 Movimentações'!$B$15:$B$514,"&lt;="&amp;EOMONTH(DATE($N$3,9,1),0),'📋 Movimentações'!$E$15:$E$514,"Entrada",'📋 Movimentações'!$D$15:$D$514,"Hora Extra")</f>
        <v>0</v>
      </c>
      <c r="L8" s="89">
        <f>SUMIFS('📋 Movimentações'!$F$15:$F$514,'📋 Movimentações'!$B$15:$B$514,"&gt;="&amp;DATE($N$3,10,1),'📋 Movimentações'!$B$15:$B$514,"&lt;="&amp;EOMONTH(DATE($N$3,10,1),0),'📋 Movimentações'!$E$15:$E$514,"Entrada",'📋 Movimentações'!$D$15:$D$514,"Hora Extra")</f>
        <v>0</v>
      </c>
      <c r="M8" s="89">
        <f>SUMIFS('📋 Movimentações'!$F$15:$F$514,'📋 Movimentações'!$B$15:$B$514,"&gt;="&amp;DATE($N$3,11,1),'📋 Movimentações'!$B$15:$B$514,"&lt;="&amp;EOMONTH(DATE($N$3,11,1),0),'📋 Movimentações'!$E$15:$E$514,"Entrada",'📋 Movimentações'!$D$15:$D$514,"Hora Extra")</f>
        <v>0</v>
      </c>
      <c r="N8" s="89">
        <f>SUMIFS('📋 Movimentações'!$F$15:$F$514,'📋 Movimentações'!$B$15:$B$514,"&gt;="&amp;DATE($N$3,12,1),'📋 Movimentações'!$B$15:$B$514,"&lt;="&amp;EOMONTH(DATE($N$3,12,1),0),'📋 Movimentações'!$E$15:$E$514,"Entrada",'📋 Movimentações'!$D$15:$D$514,"Hora Extra")</f>
        <v>0</v>
      </c>
      <c r="O8" s="167">
        <f>SUM(C8,D8,E8,F8,G8,H8,I8,J8,K8,L8,M8,N8)</f>
        <v>0</v>
      </c>
    </row>
    <row r="9" spans="1:15" ht="19.5" customHeight="1">
      <c r="A9" s="25"/>
      <c r="B9" s="15" t="s">
        <v>11</v>
      </c>
      <c r="C9" s="92">
        <f>SUMIFS('📋 Movimentações'!$F$15:$F$514,'📋 Movimentações'!$B$15:$B$514,"&gt;="&amp;DATE($N$3,1,1),'📋 Movimentações'!$B$15:$B$514,"&lt;="&amp;EOMONTH(DATE($N$3,1,1),0),'📋 Movimentações'!$E$15:$E$514,"Entrada",'📋 Movimentações'!$D$15:$D$514,"Bônus")</f>
        <v>0</v>
      </c>
      <c r="D9" s="92">
        <f>SUMIFS('📋 Movimentações'!$F$15:$F$514,'📋 Movimentações'!$B$15:$B$514,"&gt;="&amp;DATE($N$3,2,1),'📋 Movimentações'!$B$15:$B$514,"&lt;="&amp;EOMONTH(DATE($N$3,2,1),0),'📋 Movimentações'!$E$15:$E$514,"Entrada",'📋 Movimentações'!$D$15:$D$514,"Bônus")</f>
        <v>0</v>
      </c>
      <c r="E9" s="92">
        <f>SUMIFS('📋 Movimentações'!$F$15:$F$514,'📋 Movimentações'!$B$15:$B$514,"&gt;="&amp;DATE($N$3,3,1),'📋 Movimentações'!$B$15:$B$514,"&lt;="&amp;EOMONTH(DATE($N$3,3,1),0),'📋 Movimentações'!$E$15:$E$514,"Entrada",'📋 Movimentações'!$D$15:$D$514,"Bônus")</f>
        <v>0</v>
      </c>
      <c r="F9" s="92">
        <f>SUMIFS('📋 Movimentações'!$F$15:$F$514,'📋 Movimentações'!$B$15:$B$514,"&gt;="&amp;DATE($N$3,4,1),'📋 Movimentações'!$B$15:$B$514,"&lt;="&amp;EOMONTH(DATE($N$3,4,1),0),'📋 Movimentações'!$E$15:$E$514,"Entrada",'📋 Movimentações'!$D$15:$D$514,"Bônus")</f>
        <v>0</v>
      </c>
      <c r="G9" s="92">
        <f>SUMIFS('📋 Movimentações'!$F$15:$F$514,'📋 Movimentações'!$B$15:$B$514,"&gt;="&amp;DATE($N$3,5,1),'📋 Movimentações'!$B$15:$B$514,"&lt;="&amp;EOMONTH(DATE($N$3,5,1),0),'📋 Movimentações'!$E$15:$E$514,"Entrada",'📋 Movimentações'!$D$15:$D$514,"Bônus")</f>
        <v>55000</v>
      </c>
      <c r="H9" s="92">
        <f>SUMIFS('📋 Movimentações'!$F$15:$F$514,'📋 Movimentações'!$B$15:$B$514,"&gt;="&amp;DATE($N$3,6,1),'📋 Movimentações'!$B$15:$B$514,"&lt;="&amp;EOMONTH(DATE($N$3,6,1),0),'📋 Movimentações'!$E$15:$E$514,"Entrada",'📋 Movimentações'!$D$15:$D$514,"Bônus")</f>
        <v>0</v>
      </c>
      <c r="I9" s="92">
        <f>SUMIFS('📋 Movimentações'!$F$15:$F$514,'📋 Movimentações'!$B$15:$B$514,"&gt;="&amp;DATE($N$3,7,1),'📋 Movimentações'!$B$15:$B$514,"&lt;="&amp;EOMONTH(DATE($N$3,7,1),0),'📋 Movimentações'!$E$15:$E$514,"Entrada",'📋 Movimentações'!$D$15:$D$514,"Bônus")</f>
        <v>0</v>
      </c>
      <c r="J9" s="92">
        <f>SUMIFS('📋 Movimentações'!$F$15:$F$514,'📋 Movimentações'!$B$15:$B$514,"&gt;="&amp;DATE($N$3,8,1),'📋 Movimentações'!$B$15:$B$514,"&lt;="&amp;EOMONTH(DATE($N$3,8,1),0),'📋 Movimentações'!$E$15:$E$514,"Entrada",'📋 Movimentações'!$D$15:$D$514,"Bônus")</f>
        <v>0</v>
      </c>
      <c r="K9" s="92">
        <f>SUMIFS('📋 Movimentações'!$F$15:$F$514,'📋 Movimentações'!$B$15:$B$514,"&gt;="&amp;DATE($N$3,9,1),'📋 Movimentações'!$B$15:$B$514,"&lt;="&amp;EOMONTH(DATE($N$3,9,1),0),'📋 Movimentações'!$E$15:$E$514,"Entrada",'📋 Movimentações'!$D$15:$D$514,"Bônus")</f>
        <v>0</v>
      </c>
      <c r="L9" s="92">
        <f>SUMIFS('📋 Movimentações'!$F$15:$F$514,'📋 Movimentações'!$B$15:$B$514,"&gt;="&amp;DATE($N$3,10,1),'📋 Movimentações'!$B$15:$B$514,"&lt;="&amp;EOMONTH(DATE($N$3,10,1),0),'📋 Movimentações'!$E$15:$E$514,"Entrada",'📋 Movimentações'!$D$15:$D$514,"Bônus")</f>
        <v>0</v>
      </c>
      <c r="M9" s="92">
        <f>SUMIFS('📋 Movimentações'!$F$15:$F$514,'📋 Movimentações'!$B$15:$B$514,"&gt;="&amp;DATE($N$3,11,1),'📋 Movimentações'!$B$15:$B$514,"&lt;="&amp;EOMONTH(DATE($N$3,11,1),0),'📋 Movimentações'!$E$15:$E$514,"Entrada",'📋 Movimentações'!$D$15:$D$514,"Bônus")</f>
        <v>0</v>
      </c>
      <c r="N9" s="92">
        <f>SUMIFS('📋 Movimentações'!$F$15:$F$514,'📋 Movimentações'!$B$15:$B$514,"&gt;="&amp;DATE($N$3,12,1),'📋 Movimentações'!$B$15:$B$514,"&lt;="&amp;EOMONTH(DATE($N$3,12,1),0),'📋 Movimentações'!$E$15:$E$514,"Entrada",'📋 Movimentações'!$D$15:$D$514,"Bônus")</f>
        <v>0</v>
      </c>
      <c r="O9" s="168">
        <f>SUM(C9,D9,E9,F9,G9,H9,I9,J9,K9,L9,M9,N9)</f>
        <v>55000</v>
      </c>
    </row>
    <row r="10" spans="1:15" ht="19.5" customHeight="1">
      <c r="A10" s="25"/>
      <c r="B10" s="169" t="s">
        <v>63</v>
      </c>
      <c r="C10" s="170">
        <f>SUMIFS('📋 Movimentações'!$F$15:$F$514,'📋 Movimentações'!$B$15:$B$514,"&gt;="&amp;DATE($N$3,1,1),'📋 Movimentações'!$B$15:$B$514,"&lt;="&amp;EOMONTH(DATE($N$3,1,1),0),'📋 Movimentações'!$E$15:$E$514,"Entrada")</f>
        <v>0</v>
      </c>
      <c r="D10" s="170">
        <f>SUMIFS('📋 Movimentações'!$F$15:$F$514,'📋 Movimentações'!$B$15:$B$514,"&gt;="&amp;DATE($N$3,2,1),'📋 Movimentações'!$B$15:$B$514,"&lt;="&amp;EOMONTH(DATE($N$3,2,1),0),'📋 Movimentações'!$E$15:$E$514,"Entrada")</f>
        <v>0</v>
      </c>
      <c r="E10" s="170">
        <f>SUMIFS('📋 Movimentações'!$F$15:$F$514,'📋 Movimentações'!$B$15:$B$514,"&gt;="&amp;DATE($N$3,3,1),'📋 Movimentações'!$B$15:$B$514,"&lt;="&amp;EOMONTH(DATE($N$3,3,1),0),'📋 Movimentações'!$E$15:$E$514,"Entrada")</f>
        <v>0</v>
      </c>
      <c r="F10" s="170">
        <f>SUMIFS('📋 Movimentações'!$F$15:$F$514,'📋 Movimentações'!$B$15:$B$514,"&gt;="&amp;DATE($N$3,4,1),'📋 Movimentações'!$B$15:$B$514,"&lt;="&amp;EOMONTH(DATE($N$3,4,1),0),'📋 Movimentações'!$E$15:$E$514,"Entrada")</f>
        <v>0</v>
      </c>
      <c r="G10" s="170">
        <f>SUMIFS('📋 Movimentações'!$F$15:$F$514,'📋 Movimentações'!$B$15:$B$514,"&gt;="&amp;DATE($N$3,5,1),'📋 Movimentações'!$B$15:$B$514,"&lt;="&amp;EOMONTH(DATE($N$3,5,1),0),'📋 Movimentações'!$E$15:$E$514,"Entrada")</f>
        <v>429000</v>
      </c>
      <c r="H10" s="170">
        <f>SUMIFS('📋 Movimentações'!$F$15:$F$514,'📋 Movimentações'!$B$15:$B$514,"&gt;="&amp;DATE($N$3,6,1),'📋 Movimentações'!$B$15:$B$514,"&lt;="&amp;EOMONTH(DATE($N$3,6,1),0),'📋 Movimentações'!$E$15:$E$514,"Entrada")</f>
        <v>0</v>
      </c>
      <c r="I10" s="170">
        <f>SUMIFS('📋 Movimentações'!$F$15:$F$514,'📋 Movimentações'!$B$15:$B$514,"&gt;="&amp;DATE($N$3,7,1),'📋 Movimentações'!$B$15:$B$514,"&lt;="&amp;EOMONTH(DATE($N$3,7,1),0),'📋 Movimentações'!$E$15:$E$514,"Entrada")</f>
        <v>0</v>
      </c>
      <c r="J10" s="170">
        <f>SUMIFS('📋 Movimentações'!$F$15:$F$514,'📋 Movimentações'!$B$15:$B$514,"&gt;="&amp;DATE($N$3,8,1),'📋 Movimentações'!$B$15:$B$514,"&lt;="&amp;EOMONTH(DATE($N$3,8,1),0),'📋 Movimentações'!$E$15:$E$514,"Entrada")</f>
        <v>0</v>
      </c>
      <c r="K10" s="170">
        <f>SUMIFS('📋 Movimentações'!$F$15:$F$514,'📋 Movimentações'!$B$15:$B$514,"&gt;="&amp;DATE($N$3,9,1),'📋 Movimentações'!$B$15:$B$514,"&lt;="&amp;EOMONTH(DATE($N$3,9,1),0),'📋 Movimentações'!$E$15:$E$514,"Entrada")</f>
        <v>0</v>
      </c>
      <c r="L10" s="170">
        <f>SUMIFS('📋 Movimentações'!$F$15:$F$514,'📋 Movimentações'!$B$15:$B$514,"&gt;="&amp;DATE($N$3,10,1),'📋 Movimentações'!$B$15:$B$514,"&lt;="&amp;EOMONTH(DATE($N$3,10,1),0),'📋 Movimentações'!$E$15:$E$514,"Entrada")</f>
        <v>0</v>
      </c>
      <c r="M10" s="170">
        <f>SUMIFS('📋 Movimentações'!$F$15:$F$514,'📋 Movimentações'!$B$15:$B$514,"&gt;="&amp;DATE($N$3,11,1),'📋 Movimentações'!$B$15:$B$514,"&lt;="&amp;EOMONTH(DATE($N$3,11,1),0),'📋 Movimentações'!$E$15:$E$514,"Entrada")</f>
        <v>0</v>
      </c>
      <c r="N10" s="170">
        <f>SUMIFS('📋 Movimentações'!$F$15:$F$514,'📋 Movimentações'!$B$15:$B$514,"&gt;="&amp;DATE($N$3,12,1),'📋 Movimentações'!$B$15:$B$514,"&lt;="&amp;EOMONTH(DATE($N$3,12,1),0),'📋 Movimentações'!$E$15:$E$514,"Entrada")</f>
        <v>0</v>
      </c>
      <c r="O10" s="171">
        <f>SUM(C10,D10,E10,F10,G10,H10,I10,J10,K10,L10,M10,N10)</f>
        <v>429000</v>
      </c>
    </row>
    <row r="11" spans="1:15" ht="15.75" customHeight="1">
      <c r="A11" s="25"/>
      <c r="B11" s="247" t="s">
        <v>226</v>
      </c>
      <c r="C11" s="247"/>
      <c r="D11" s="247"/>
      <c r="E11" s="247"/>
      <c r="F11" s="247"/>
      <c r="G11" s="247"/>
      <c r="H11" s="247"/>
      <c r="I11" s="247"/>
      <c r="J11" s="247"/>
      <c r="K11" s="247"/>
      <c r="L11" s="247"/>
      <c r="M11" s="247"/>
      <c r="N11" s="247"/>
      <c r="O11" s="247"/>
    </row>
    <row r="12" spans="1:15" ht="19.5" customHeight="1">
      <c r="A12" s="25"/>
      <c r="B12" s="88" t="s">
        <v>17</v>
      </c>
      <c r="C12" s="89">
        <f>SUMIFS('📋 Movimentações'!$F$15:$F$514,'📋 Movimentações'!$B$15:$B$514,"&gt;="&amp;DATE($N$3,1,1),'📋 Movimentações'!$B$15:$B$514,"&lt;="&amp;EOMONTH(DATE($N$3,1,1),0),'📋 Movimentações'!$E$15:$E$514,"Saída",'📋 Movimentações'!$D$15:$D$514,"Aluguel")</f>
        <v>0</v>
      </c>
      <c r="D12" s="89">
        <f>SUMIFS('📋 Movimentações'!$F$15:$F$514,'📋 Movimentações'!$B$15:$B$514,"&gt;="&amp;DATE($N$3,2,1),'📋 Movimentações'!$B$15:$B$514,"&lt;="&amp;EOMONTH(DATE($N$3,2,1),0),'📋 Movimentações'!$E$15:$E$514,"Saída",'📋 Movimentações'!$D$15:$D$514,"Aluguel")</f>
        <v>0</v>
      </c>
      <c r="E12" s="89">
        <f>SUMIFS('📋 Movimentações'!$F$15:$F$514,'📋 Movimentações'!$B$15:$B$514,"&gt;="&amp;DATE($N$3,3,1),'📋 Movimentações'!$B$15:$B$514,"&lt;="&amp;EOMONTH(DATE($N$3,3,1),0),'📋 Movimentações'!$E$15:$E$514,"Saída",'📋 Movimentações'!$D$15:$D$514,"Aluguel")</f>
        <v>0</v>
      </c>
      <c r="F12" s="89">
        <f>SUMIFS('📋 Movimentações'!$F$15:$F$514,'📋 Movimentações'!$B$15:$B$514,"&gt;="&amp;DATE($N$3,4,1),'📋 Movimentações'!$B$15:$B$514,"&lt;="&amp;EOMONTH(DATE($N$3,4,1),0),'📋 Movimentações'!$E$15:$E$514,"Saída",'📋 Movimentações'!$D$15:$D$514,"Aluguel")</f>
        <v>0</v>
      </c>
      <c r="G12" s="89">
        <f>SUMIFS('📋 Movimentações'!$F$15:$F$514,'📋 Movimentações'!$B$15:$B$514,"&gt;="&amp;DATE($N$3,5,1),'📋 Movimentações'!$B$15:$B$514,"&lt;="&amp;EOMONTH(DATE($N$3,5,1),0),'📋 Movimentações'!$E$15:$E$514,"Saída",'📋 Movimentações'!$D$15:$D$514,"Aluguel")</f>
        <v>30000</v>
      </c>
      <c r="H12" s="89">
        <f>SUMIFS('📋 Movimentações'!$F$15:$F$514,'📋 Movimentações'!$B$15:$B$514,"&gt;="&amp;DATE($N$3,6,1),'📋 Movimentações'!$B$15:$B$514,"&lt;="&amp;EOMONTH(DATE($N$3,6,1),0),'📋 Movimentações'!$E$15:$E$514,"Saída",'📋 Movimentações'!$D$15:$D$514,"Aluguel")</f>
        <v>0</v>
      </c>
      <c r="I12" s="89">
        <f>SUMIFS('📋 Movimentações'!$F$15:$F$514,'📋 Movimentações'!$B$15:$B$514,"&gt;="&amp;DATE($N$3,7,1),'📋 Movimentações'!$B$15:$B$514,"&lt;="&amp;EOMONTH(DATE($N$3,7,1),0),'📋 Movimentações'!$E$15:$E$514,"Saída",'📋 Movimentações'!$D$15:$D$514,"Aluguel")</f>
        <v>0</v>
      </c>
      <c r="J12" s="89">
        <f>SUMIFS('📋 Movimentações'!$F$15:$F$514,'📋 Movimentações'!$B$15:$B$514,"&gt;="&amp;DATE($N$3,8,1),'📋 Movimentações'!$B$15:$B$514,"&lt;="&amp;EOMONTH(DATE($N$3,8,1),0),'📋 Movimentações'!$E$15:$E$514,"Saída",'📋 Movimentações'!$D$15:$D$514,"Aluguel")</f>
        <v>0</v>
      </c>
      <c r="K12" s="89">
        <f>SUMIFS('📋 Movimentações'!$F$15:$F$514,'📋 Movimentações'!$B$15:$B$514,"&gt;="&amp;DATE($N$3,9,1),'📋 Movimentações'!$B$15:$B$514,"&lt;="&amp;EOMONTH(DATE($N$3,9,1),0),'📋 Movimentações'!$E$15:$E$514,"Saída",'📋 Movimentações'!$D$15:$D$514,"Aluguel")</f>
        <v>0</v>
      </c>
      <c r="L12" s="89">
        <f>SUMIFS('📋 Movimentações'!$F$15:$F$514,'📋 Movimentações'!$B$15:$B$514,"&gt;="&amp;DATE($N$3,10,1),'📋 Movimentações'!$B$15:$B$514,"&lt;="&amp;EOMONTH(DATE($N$3,10,1),0),'📋 Movimentações'!$E$15:$E$514,"Saída",'📋 Movimentações'!$D$15:$D$514,"Aluguel")</f>
        <v>0</v>
      </c>
      <c r="M12" s="89">
        <f>SUMIFS('📋 Movimentações'!$F$15:$F$514,'📋 Movimentações'!$B$15:$B$514,"&gt;="&amp;DATE($N$3,11,1),'📋 Movimentações'!$B$15:$B$514,"&lt;="&amp;EOMONTH(DATE($N$3,11,1),0),'📋 Movimentações'!$E$15:$E$514,"Saída",'📋 Movimentações'!$D$15:$D$514,"Aluguel")</f>
        <v>0</v>
      </c>
      <c r="N12" s="89">
        <f>SUMIFS('📋 Movimentações'!$F$15:$F$514,'📋 Movimentações'!$B$15:$B$514,"&gt;="&amp;DATE($N$3,12,1),'📋 Movimentações'!$B$15:$B$514,"&lt;="&amp;EOMONTH(DATE($N$3,12,1),0),'📋 Movimentações'!$E$15:$E$514,"Saída",'📋 Movimentações'!$D$15:$D$514,"Aluguel")</f>
        <v>0</v>
      </c>
      <c r="O12" s="172">
        <f t="shared" ref="O12:O17" si="0">SUM(C12,D12,E12,F12,G12,H12,I12,J12,K12,L12,M12,N12)</f>
        <v>30000</v>
      </c>
    </row>
    <row r="13" spans="1:15" ht="19.5" customHeight="1">
      <c r="A13" s="25"/>
      <c r="B13" s="15" t="s">
        <v>227</v>
      </c>
      <c r="C13" s="92">
        <f>SUMIFS('📋 Movimentações'!$F$15:$F$514,'📋 Movimentações'!$B$15:$B$514,"&gt;="&amp;DATE($N$3,1,1),'📋 Movimentações'!$B$15:$B$514,"&lt;="&amp;EOMONTH(DATE($N$3,1,1),0),'📋 Movimentações'!$E$15:$E$514,"Saída",'📋 Movimentações'!$D$15:$D$514,"Mercado")</f>
        <v>0</v>
      </c>
      <c r="D13" s="92">
        <f>SUMIFS('📋 Movimentações'!$F$15:$F$514,'📋 Movimentações'!$B$15:$B$514,"&gt;="&amp;DATE($N$3,2,1),'📋 Movimentações'!$B$15:$B$514,"&lt;="&amp;EOMONTH(DATE($N$3,2,1),0),'📋 Movimentações'!$E$15:$E$514,"Saída",'📋 Movimentações'!$D$15:$D$514,"Mercado")</f>
        <v>0</v>
      </c>
      <c r="E13" s="92">
        <f>SUMIFS('📋 Movimentações'!$F$15:$F$514,'📋 Movimentações'!$B$15:$B$514,"&gt;="&amp;DATE($N$3,3,1),'📋 Movimentações'!$B$15:$B$514,"&lt;="&amp;EOMONTH(DATE($N$3,3,1),0),'📋 Movimentações'!$E$15:$E$514,"Saída",'📋 Movimentações'!$D$15:$D$514,"Mercado")</f>
        <v>0</v>
      </c>
      <c r="F13" s="92">
        <f>SUMIFS('📋 Movimentações'!$F$15:$F$514,'📋 Movimentações'!$B$15:$B$514,"&gt;="&amp;DATE($N$3,4,1),'📋 Movimentações'!$B$15:$B$514,"&lt;="&amp;EOMONTH(DATE($N$3,4,1),0),'📋 Movimentações'!$E$15:$E$514,"Saída",'📋 Movimentações'!$D$15:$D$514,"Mercado")</f>
        <v>0</v>
      </c>
      <c r="G13" s="92">
        <f>SUMIFS('📋 Movimentações'!$F$15:$F$514,'📋 Movimentações'!$B$15:$B$514,"&gt;="&amp;DATE($N$3,5,1),'📋 Movimentações'!$B$15:$B$514,"&lt;="&amp;EOMONTH(DATE($N$3,5,1),0),'📋 Movimentações'!$E$15:$E$514,"Saída",'📋 Movimentações'!$D$15:$D$514,"Mercado")</f>
        <v>0</v>
      </c>
      <c r="H13" s="92">
        <f>SUMIFS('📋 Movimentações'!$F$15:$F$514,'📋 Movimentações'!$B$15:$B$514,"&gt;="&amp;DATE($N$3,6,1),'📋 Movimentações'!$B$15:$B$514,"&lt;="&amp;EOMONTH(DATE($N$3,6,1),0),'📋 Movimentações'!$E$15:$E$514,"Saída",'📋 Movimentações'!$D$15:$D$514,"Mercado")</f>
        <v>0</v>
      </c>
      <c r="I13" s="92">
        <f>SUMIFS('📋 Movimentações'!$F$15:$F$514,'📋 Movimentações'!$B$15:$B$514,"&gt;="&amp;DATE($N$3,7,1),'📋 Movimentações'!$B$15:$B$514,"&lt;="&amp;EOMONTH(DATE($N$3,7,1),0),'📋 Movimentações'!$E$15:$E$514,"Saída",'📋 Movimentações'!$D$15:$D$514,"Mercado")</f>
        <v>0</v>
      </c>
      <c r="J13" s="92">
        <f>SUMIFS('📋 Movimentações'!$F$15:$F$514,'📋 Movimentações'!$B$15:$B$514,"&gt;="&amp;DATE($N$3,8,1),'📋 Movimentações'!$B$15:$B$514,"&lt;="&amp;EOMONTH(DATE($N$3,8,1),0),'📋 Movimentações'!$E$15:$E$514,"Saída",'📋 Movimentações'!$D$15:$D$514,"Mercado")</f>
        <v>0</v>
      </c>
      <c r="K13" s="92">
        <f>SUMIFS('📋 Movimentações'!$F$15:$F$514,'📋 Movimentações'!$B$15:$B$514,"&gt;="&amp;DATE($N$3,9,1),'📋 Movimentações'!$B$15:$B$514,"&lt;="&amp;EOMONTH(DATE($N$3,9,1),0),'📋 Movimentações'!$E$15:$E$514,"Saída",'📋 Movimentações'!$D$15:$D$514,"Mercado")</f>
        <v>0</v>
      </c>
      <c r="L13" s="92">
        <f>SUMIFS('📋 Movimentações'!$F$15:$F$514,'📋 Movimentações'!$B$15:$B$514,"&gt;="&amp;DATE($N$3,10,1),'📋 Movimentações'!$B$15:$B$514,"&lt;="&amp;EOMONTH(DATE($N$3,10,1),0),'📋 Movimentações'!$E$15:$E$514,"Saída",'📋 Movimentações'!$D$15:$D$514,"Mercado")</f>
        <v>0</v>
      </c>
      <c r="M13" s="92">
        <f>SUMIFS('📋 Movimentações'!$F$15:$F$514,'📋 Movimentações'!$B$15:$B$514,"&gt;="&amp;DATE($N$3,11,1),'📋 Movimentações'!$B$15:$B$514,"&lt;="&amp;EOMONTH(DATE($N$3,11,1),0),'📋 Movimentações'!$E$15:$E$514,"Saída",'📋 Movimentações'!$D$15:$D$514,"Mercado")</f>
        <v>0</v>
      </c>
      <c r="N13" s="92">
        <f>SUMIFS('📋 Movimentações'!$F$15:$F$514,'📋 Movimentações'!$B$15:$B$514,"&gt;="&amp;DATE($N$3,12,1),'📋 Movimentações'!$B$15:$B$514,"&lt;="&amp;EOMONTH(DATE($N$3,12,1),0),'📋 Movimentações'!$E$15:$E$514,"Saída",'📋 Movimentações'!$D$15:$D$514,"Mercado")</f>
        <v>0</v>
      </c>
      <c r="O13" s="173">
        <f t="shared" si="0"/>
        <v>0</v>
      </c>
    </row>
    <row r="14" spans="1:15" ht="19.5" customHeight="1">
      <c r="A14" s="25"/>
      <c r="B14" s="88" t="s">
        <v>34</v>
      </c>
      <c r="C14" s="89">
        <f>SUMIFS('📋 Movimentações'!$F$15:$F$514,'📋 Movimentações'!$B$15:$B$514,"&gt;="&amp;DATE($N$3,1,1),'📋 Movimentações'!$B$15:$B$514,"&lt;="&amp;EOMONTH(DATE($N$3,1,1),0),'📋 Movimentações'!$E$15:$E$514,"Saída",'📋 Movimentações'!$D$15:$D$514,"Gasolina")</f>
        <v>0</v>
      </c>
      <c r="D14" s="89">
        <f>SUMIFS('📋 Movimentações'!$F$15:$F$514,'📋 Movimentações'!$B$15:$B$514,"&gt;="&amp;DATE($N$3,2,1),'📋 Movimentações'!$B$15:$B$514,"&lt;="&amp;EOMONTH(DATE($N$3,2,1),0),'📋 Movimentações'!$E$15:$E$514,"Saída",'📋 Movimentações'!$D$15:$D$514,"Gasolina")</f>
        <v>0</v>
      </c>
      <c r="E14" s="89">
        <f>SUMIFS('📋 Movimentações'!$F$15:$F$514,'📋 Movimentações'!$B$15:$B$514,"&gt;="&amp;DATE($N$3,3,1),'📋 Movimentações'!$B$15:$B$514,"&lt;="&amp;EOMONTH(DATE($N$3,3,1),0),'📋 Movimentações'!$E$15:$E$514,"Saída",'📋 Movimentações'!$D$15:$D$514,"Gasolina")</f>
        <v>0</v>
      </c>
      <c r="F14" s="89">
        <f>SUMIFS('📋 Movimentações'!$F$15:$F$514,'📋 Movimentações'!$B$15:$B$514,"&gt;="&amp;DATE($N$3,4,1),'📋 Movimentações'!$B$15:$B$514,"&lt;="&amp;EOMONTH(DATE($N$3,4,1),0),'📋 Movimentações'!$E$15:$E$514,"Saída",'📋 Movimentações'!$D$15:$D$514,"Gasolina")</f>
        <v>0</v>
      </c>
      <c r="G14" s="89">
        <f>SUMIFS('📋 Movimentações'!$F$15:$F$514,'📋 Movimentações'!$B$15:$B$514,"&gt;="&amp;DATE($N$3,5,1),'📋 Movimentações'!$B$15:$B$514,"&lt;="&amp;EOMONTH(DATE($N$3,5,1),0),'📋 Movimentações'!$E$15:$E$514,"Saída",'📋 Movimentações'!$D$15:$D$514,"Gasolina")</f>
        <v>0</v>
      </c>
      <c r="H14" s="89">
        <f>SUMIFS('📋 Movimentações'!$F$15:$F$514,'📋 Movimentações'!$B$15:$B$514,"&gt;="&amp;DATE($N$3,6,1),'📋 Movimentações'!$B$15:$B$514,"&lt;="&amp;EOMONTH(DATE($N$3,6,1),0),'📋 Movimentações'!$E$15:$E$514,"Saída",'📋 Movimentações'!$D$15:$D$514,"Gasolina")</f>
        <v>0</v>
      </c>
      <c r="I14" s="89">
        <f>SUMIFS('📋 Movimentações'!$F$15:$F$514,'📋 Movimentações'!$B$15:$B$514,"&gt;="&amp;DATE($N$3,7,1),'📋 Movimentações'!$B$15:$B$514,"&lt;="&amp;EOMONTH(DATE($N$3,7,1),0),'📋 Movimentações'!$E$15:$E$514,"Saída",'📋 Movimentações'!$D$15:$D$514,"Gasolina")</f>
        <v>0</v>
      </c>
      <c r="J14" s="89">
        <f>SUMIFS('📋 Movimentações'!$F$15:$F$514,'📋 Movimentações'!$B$15:$B$514,"&gt;="&amp;DATE($N$3,8,1),'📋 Movimentações'!$B$15:$B$514,"&lt;="&amp;EOMONTH(DATE($N$3,8,1),0),'📋 Movimentações'!$E$15:$E$514,"Saída",'📋 Movimentações'!$D$15:$D$514,"Gasolina")</f>
        <v>0</v>
      </c>
      <c r="K14" s="89">
        <f>SUMIFS('📋 Movimentações'!$F$15:$F$514,'📋 Movimentações'!$B$15:$B$514,"&gt;="&amp;DATE($N$3,9,1),'📋 Movimentações'!$B$15:$B$514,"&lt;="&amp;EOMONTH(DATE($N$3,9,1),0),'📋 Movimentações'!$E$15:$E$514,"Saída",'📋 Movimentações'!$D$15:$D$514,"Gasolina")</f>
        <v>0</v>
      </c>
      <c r="L14" s="89">
        <f>SUMIFS('📋 Movimentações'!$F$15:$F$514,'📋 Movimentações'!$B$15:$B$514,"&gt;="&amp;DATE($N$3,10,1),'📋 Movimentações'!$B$15:$B$514,"&lt;="&amp;EOMONTH(DATE($N$3,10,1),0),'📋 Movimentações'!$E$15:$E$514,"Saída",'📋 Movimentações'!$D$15:$D$514,"Gasolina")</f>
        <v>0</v>
      </c>
      <c r="M14" s="89">
        <f>SUMIFS('📋 Movimentações'!$F$15:$F$514,'📋 Movimentações'!$B$15:$B$514,"&gt;="&amp;DATE($N$3,11,1),'📋 Movimentações'!$B$15:$B$514,"&lt;="&amp;EOMONTH(DATE($N$3,11,1),0),'📋 Movimentações'!$E$15:$E$514,"Saída",'📋 Movimentações'!$D$15:$D$514,"Gasolina")</f>
        <v>0</v>
      </c>
      <c r="N14" s="89">
        <f>SUMIFS('📋 Movimentações'!$F$15:$F$514,'📋 Movimentações'!$B$15:$B$514,"&gt;="&amp;DATE($N$3,12,1),'📋 Movimentações'!$B$15:$B$514,"&lt;="&amp;EOMONTH(DATE($N$3,12,1),0),'📋 Movimentações'!$E$15:$E$514,"Saída",'📋 Movimentações'!$D$15:$D$514,"Gasolina")</f>
        <v>0</v>
      </c>
      <c r="O14" s="172">
        <f t="shared" si="0"/>
        <v>0</v>
      </c>
    </row>
    <row r="15" spans="1:15" ht="19.5" customHeight="1">
      <c r="A15" s="25"/>
      <c r="B15" s="15" t="s">
        <v>36</v>
      </c>
      <c r="C15" s="92">
        <f>SUMIFS('📋 Movimentações'!$F$15:$F$514,'📋 Movimentações'!$B$15:$B$514,"&gt;="&amp;DATE($N$3,1,1),'📋 Movimentações'!$B$15:$B$514,"&lt;="&amp;EOMONTH(DATE($N$3,1,1),0),'📋 Movimentações'!$E$15:$E$514,"Saída",'📋 Movimentações'!$D$15:$D$514,"Lazer")</f>
        <v>0</v>
      </c>
      <c r="D15" s="92">
        <f>SUMIFS('📋 Movimentações'!$F$15:$F$514,'📋 Movimentações'!$B$15:$B$514,"&gt;="&amp;DATE($N$3,2,1),'📋 Movimentações'!$B$15:$B$514,"&lt;="&amp;EOMONTH(DATE($N$3,2,1),0),'📋 Movimentações'!$E$15:$E$514,"Saída",'📋 Movimentações'!$D$15:$D$514,"Lazer")</f>
        <v>0</v>
      </c>
      <c r="E15" s="92">
        <f>SUMIFS('📋 Movimentações'!$F$15:$F$514,'📋 Movimentações'!$B$15:$B$514,"&gt;="&amp;DATE($N$3,3,1),'📋 Movimentações'!$B$15:$B$514,"&lt;="&amp;EOMONTH(DATE($N$3,3,1),0),'📋 Movimentações'!$E$15:$E$514,"Saída",'📋 Movimentações'!$D$15:$D$514,"Lazer")</f>
        <v>0</v>
      </c>
      <c r="F15" s="92">
        <f>SUMIFS('📋 Movimentações'!$F$15:$F$514,'📋 Movimentações'!$B$15:$B$514,"&gt;="&amp;DATE($N$3,4,1),'📋 Movimentações'!$B$15:$B$514,"&lt;="&amp;EOMONTH(DATE($N$3,4,1),0),'📋 Movimentações'!$E$15:$E$514,"Saída",'📋 Movimentações'!$D$15:$D$514,"Lazer")</f>
        <v>0</v>
      </c>
      <c r="G15" s="92">
        <f>SUMIFS('📋 Movimentações'!$F$15:$F$514,'📋 Movimentações'!$B$15:$B$514,"&gt;="&amp;DATE($N$3,5,1),'📋 Movimentações'!$B$15:$B$514,"&lt;="&amp;EOMONTH(DATE($N$3,5,1),0),'📋 Movimentações'!$E$15:$E$514,"Saída",'📋 Movimentações'!$D$15:$D$514,"Lazer")</f>
        <v>0</v>
      </c>
      <c r="H15" s="92">
        <f>SUMIFS('📋 Movimentações'!$F$15:$F$514,'📋 Movimentações'!$B$15:$B$514,"&gt;="&amp;DATE($N$3,6,1),'📋 Movimentações'!$B$15:$B$514,"&lt;="&amp;EOMONTH(DATE($N$3,6,1),0),'📋 Movimentações'!$E$15:$E$514,"Saída",'📋 Movimentações'!$D$15:$D$514,"Lazer")</f>
        <v>0</v>
      </c>
      <c r="I15" s="92">
        <f>SUMIFS('📋 Movimentações'!$F$15:$F$514,'📋 Movimentações'!$B$15:$B$514,"&gt;="&amp;DATE($N$3,7,1),'📋 Movimentações'!$B$15:$B$514,"&lt;="&amp;EOMONTH(DATE($N$3,7,1),0),'📋 Movimentações'!$E$15:$E$514,"Saída",'📋 Movimentações'!$D$15:$D$514,"Lazer")</f>
        <v>0</v>
      </c>
      <c r="J15" s="92">
        <f>SUMIFS('📋 Movimentações'!$F$15:$F$514,'📋 Movimentações'!$B$15:$B$514,"&gt;="&amp;DATE($N$3,8,1),'📋 Movimentações'!$B$15:$B$514,"&lt;="&amp;EOMONTH(DATE($N$3,8,1),0),'📋 Movimentações'!$E$15:$E$514,"Saída",'📋 Movimentações'!$D$15:$D$514,"Lazer")</f>
        <v>0</v>
      </c>
      <c r="K15" s="92">
        <f>SUMIFS('📋 Movimentações'!$F$15:$F$514,'📋 Movimentações'!$B$15:$B$514,"&gt;="&amp;DATE($N$3,9,1),'📋 Movimentações'!$B$15:$B$514,"&lt;="&amp;EOMONTH(DATE($N$3,9,1),0),'📋 Movimentações'!$E$15:$E$514,"Saída",'📋 Movimentações'!$D$15:$D$514,"Lazer")</f>
        <v>0</v>
      </c>
      <c r="L15" s="92">
        <f>SUMIFS('📋 Movimentações'!$F$15:$F$514,'📋 Movimentações'!$B$15:$B$514,"&gt;="&amp;DATE($N$3,10,1),'📋 Movimentações'!$B$15:$B$514,"&lt;="&amp;EOMONTH(DATE($N$3,10,1),0),'📋 Movimentações'!$E$15:$E$514,"Saída",'📋 Movimentações'!$D$15:$D$514,"Lazer")</f>
        <v>0</v>
      </c>
      <c r="M15" s="92">
        <f>SUMIFS('📋 Movimentações'!$F$15:$F$514,'📋 Movimentações'!$B$15:$B$514,"&gt;="&amp;DATE($N$3,11,1),'📋 Movimentações'!$B$15:$B$514,"&lt;="&amp;EOMONTH(DATE($N$3,11,1),0),'📋 Movimentações'!$E$15:$E$514,"Saída",'📋 Movimentações'!$D$15:$D$514,"Lazer")</f>
        <v>0</v>
      </c>
      <c r="N15" s="92">
        <f>SUMIFS('📋 Movimentações'!$F$15:$F$514,'📋 Movimentações'!$B$15:$B$514,"&gt;="&amp;DATE($N$3,12,1),'📋 Movimentações'!$B$15:$B$514,"&lt;="&amp;EOMONTH(DATE($N$3,12,1),0),'📋 Movimentações'!$E$15:$E$514,"Saída",'📋 Movimentações'!$D$15:$D$514,"Lazer")</f>
        <v>0</v>
      </c>
      <c r="O15" s="173">
        <f t="shared" si="0"/>
        <v>0</v>
      </c>
    </row>
    <row r="16" spans="1:15" ht="19.5" customHeight="1">
      <c r="A16" s="25"/>
      <c r="B16" s="88" t="s">
        <v>39</v>
      </c>
      <c r="C16" s="89">
        <f>SUMIFS('📋 Movimentações'!$F$15:$F$514,'📋 Movimentações'!$B$15:$B$514,"&gt;="&amp;DATE($N$3,1,1),'📋 Movimentações'!$B$15:$B$514,"&lt;="&amp;EOMONTH(DATE($N$3,1,1),0),'📋 Movimentações'!$E$15:$E$514,"Saída",'📋 Movimentações'!$D$15:$D$514,"Remessa Brasil")</f>
        <v>0</v>
      </c>
      <c r="D16" s="89">
        <f>SUMIFS('📋 Movimentações'!$F$15:$F$514,'📋 Movimentações'!$B$15:$B$514,"&gt;="&amp;DATE($N$3,2,1),'📋 Movimentações'!$B$15:$B$514,"&lt;="&amp;EOMONTH(DATE($N$3,2,1),0),'📋 Movimentações'!$E$15:$E$514,"Saída",'📋 Movimentações'!$D$15:$D$514,"Remessa Brasil")</f>
        <v>0</v>
      </c>
      <c r="E16" s="89">
        <f>SUMIFS('📋 Movimentações'!$F$15:$F$514,'📋 Movimentações'!$B$15:$B$514,"&gt;="&amp;DATE($N$3,3,1),'📋 Movimentações'!$B$15:$B$514,"&lt;="&amp;EOMONTH(DATE($N$3,3,1),0),'📋 Movimentações'!$E$15:$E$514,"Saída",'📋 Movimentações'!$D$15:$D$514,"Remessa Brasil")</f>
        <v>0</v>
      </c>
      <c r="F16" s="89">
        <f>SUMIFS('📋 Movimentações'!$F$15:$F$514,'📋 Movimentações'!$B$15:$B$514,"&gt;="&amp;DATE($N$3,4,1),'📋 Movimentações'!$B$15:$B$514,"&lt;="&amp;EOMONTH(DATE($N$3,4,1),0),'📋 Movimentações'!$E$15:$E$514,"Saída",'📋 Movimentações'!$D$15:$D$514,"Remessa Brasil")</f>
        <v>0</v>
      </c>
      <c r="G16" s="89">
        <f>SUMIFS('📋 Movimentações'!$F$15:$F$514,'📋 Movimentações'!$B$15:$B$514,"&gt;="&amp;DATE($N$3,5,1),'📋 Movimentações'!$B$15:$B$514,"&lt;="&amp;EOMONTH(DATE($N$3,5,1),0),'📋 Movimentações'!$E$15:$E$514,"Saída",'📋 Movimentações'!$D$15:$D$514,"Remessa Brasil")</f>
        <v>0</v>
      </c>
      <c r="H16" s="89">
        <f>SUMIFS('📋 Movimentações'!$F$15:$F$514,'📋 Movimentações'!$B$15:$B$514,"&gt;="&amp;DATE($N$3,6,1),'📋 Movimentações'!$B$15:$B$514,"&lt;="&amp;EOMONTH(DATE($N$3,6,1),0),'📋 Movimentações'!$E$15:$E$514,"Saída",'📋 Movimentações'!$D$15:$D$514,"Remessa Brasil")</f>
        <v>0</v>
      </c>
      <c r="I16" s="89">
        <f>SUMIFS('📋 Movimentações'!$F$15:$F$514,'📋 Movimentações'!$B$15:$B$514,"&gt;="&amp;DATE($N$3,7,1),'📋 Movimentações'!$B$15:$B$514,"&lt;="&amp;EOMONTH(DATE($N$3,7,1),0),'📋 Movimentações'!$E$15:$E$514,"Saída",'📋 Movimentações'!$D$15:$D$514,"Remessa Brasil")</f>
        <v>0</v>
      </c>
      <c r="J16" s="89">
        <f>SUMIFS('📋 Movimentações'!$F$15:$F$514,'📋 Movimentações'!$B$15:$B$514,"&gt;="&amp;DATE($N$3,8,1),'📋 Movimentações'!$B$15:$B$514,"&lt;="&amp;EOMONTH(DATE($N$3,8,1),0),'📋 Movimentações'!$E$15:$E$514,"Saída",'📋 Movimentações'!$D$15:$D$514,"Remessa Brasil")</f>
        <v>0</v>
      </c>
      <c r="K16" s="89">
        <f>SUMIFS('📋 Movimentações'!$F$15:$F$514,'📋 Movimentações'!$B$15:$B$514,"&gt;="&amp;DATE($N$3,9,1),'📋 Movimentações'!$B$15:$B$514,"&lt;="&amp;EOMONTH(DATE($N$3,9,1),0),'📋 Movimentações'!$E$15:$E$514,"Saída",'📋 Movimentações'!$D$15:$D$514,"Remessa Brasil")</f>
        <v>0</v>
      </c>
      <c r="L16" s="89">
        <f>SUMIFS('📋 Movimentações'!$F$15:$F$514,'📋 Movimentações'!$B$15:$B$514,"&gt;="&amp;DATE($N$3,10,1),'📋 Movimentações'!$B$15:$B$514,"&lt;="&amp;EOMONTH(DATE($N$3,10,1),0),'📋 Movimentações'!$E$15:$E$514,"Saída",'📋 Movimentações'!$D$15:$D$514,"Remessa Brasil")</f>
        <v>0</v>
      </c>
      <c r="M16" s="89">
        <f>SUMIFS('📋 Movimentações'!$F$15:$F$514,'📋 Movimentações'!$B$15:$B$514,"&gt;="&amp;DATE($N$3,11,1),'📋 Movimentações'!$B$15:$B$514,"&lt;="&amp;EOMONTH(DATE($N$3,11,1),0),'📋 Movimentações'!$E$15:$E$514,"Saída",'📋 Movimentações'!$D$15:$D$514,"Remessa Brasil")</f>
        <v>0</v>
      </c>
      <c r="N16" s="89">
        <f>SUMIFS('📋 Movimentações'!$F$15:$F$514,'📋 Movimentações'!$B$15:$B$514,"&gt;="&amp;DATE($N$3,12,1),'📋 Movimentações'!$B$15:$B$514,"&lt;="&amp;EOMONTH(DATE($N$3,12,1),0),'📋 Movimentações'!$E$15:$E$514,"Saída",'📋 Movimentações'!$D$15:$D$514,"Remessa Brasil")</f>
        <v>0</v>
      </c>
      <c r="O16" s="172">
        <f t="shared" si="0"/>
        <v>0</v>
      </c>
    </row>
    <row r="17" spans="1:15" ht="19.5" customHeight="1">
      <c r="A17" s="25"/>
      <c r="B17" s="174" t="s">
        <v>67</v>
      </c>
      <c r="C17" s="175">
        <f>SUMIFS('📋 Movimentações'!$F$15:$F$514,'📋 Movimentações'!$B$15:$B$514,"&gt;="&amp;DATE($N$3,1,1),'📋 Movimentações'!$B$15:$B$514,"&lt;="&amp;EOMONTH(DATE($N$3,1,1),0),'📋 Movimentações'!$E$15:$E$514,"Saída")</f>
        <v>0</v>
      </c>
      <c r="D17" s="175">
        <f>SUMIFS('📋 Movimentações'!$F$15:$F$514,'📋 Movimentações'!$B$15:$B$514,"&gt;="&amp;DATE($N$3,2,1),'📋 Movimentações'!$B$15:$B$514,"&lt;="&amp;EOMONTH(DATE($N$3,2,1),0),'📋 Movimentações'!$E$15:$E$514,"Saída")</f>
        <v>0</v>
      </c>
      <c r="E17" s="175">
        <f>SUMIFS('📋 Movimentações'!$F$15:$F$514,'📋 Movimentações'!$B$15:$B$514,"&gt;="&amp;DATE($N$3,3,1),'📋 Movimentações'!$B$15:$B$514,"&lt;="&amp;EOMONTH(DATE($N$3,3,1),0),'📋 Movimentações'!$E$15:$E$514,"Saída")</f>
        <v>0</v>
      </c>
      <c r="F17" s="175">
        <f>SUMIFS('📋 Movimentações'!$F$15:$F$514,'📋 Movimentações'!$B$15:$B$514,"&gt;="&amp;DATE($N$3,4,1),'📋 Movimentações'!$B$15:$B$514,"&lt;="&amp;EOMONTH(DATE($N$3,4,1),0),'📋 Movimentações'!$E$15:$E$514,"Saída")</f>
        <v>0</v>
      </c>
      <c r="G17" s="175">
        <f>SUMIFS('📋 Movimentações'!$F$15:$F$514,'📋 Movimentações'!$B$15:$B$514,"&gt;="&amp;DATE($N$3,5,1),'📋 Movimentações'!$B$15:$B$514,"&lt;="&amp;EOMONTH(DATE($N$3,5,1),0),'📋 Movimentações'!$E$15:$E$514,"Saída")</f>
        <v>111572</v>
      </c>
      <c r="H17" s="175">
        <f>SUMIFS('📋 Movimentações'!$F$15:$F$514,'📋 Movimentações'!$B$15:$B$514,"&gt;="&amp;DATE($N$3,6,1),'📋 Movimentações'!$B$15:$B$514,"&lt;="&amp;EOMONTH(DATE($N$3,6,1),0),'📋 Movimentações'!$E$15:$E$514,"Saída")</f>
        <v>0</v>
      </c>
      <c r="I17" s="175">
        <f>SUMIFS('📋 Movimentações'!$F$15:$F$514,'📋 Movimentações'!$B$15:$B$514,"&gt;="&amp;DATE($N$3,7,1),'📋 Movimentações'!$B$15:$B$514,"&lt;="&amp;EOMONTH(DATE($N$3,7,1),0),'📋 Movimentações'!$E$15:$E$514,"Saída")</f>
        <v>0</v>
      </c>
      <c r="J17" s="175">
        <f>SUMIFS('📋 Movimentações'!$F$15:$F$514,'📋 Movimentações'!$B$15:$B$514,"&gt;="&amp;DATE($N$3,8,1),'📋 Movimentações'!$B$15:$B$514,"&lt;="&amp;EOMONTH(DATE($N$3,8,1),0),'📋 Movimentações'!$E$15:$E$514,"Saída")</f>
        <v>0</v>
      </c>
      <c r="K17" s="175">
        <f>SUMIFS('📋 Movimentações'!$F$15:$F$514,'📋 Movimentações'!$B$15:$B$514,"&gt;="&amp;DATE($N$3,9,1),'📋 Movimentações'!$B$15:$B$514,"&lt;="&amp;EOMONTH(DATE($N$3,9,1),0),'📋 Movimentações'!$E$15:$E$514,"Saída")</f>
        <v>0</v>
      </c>
      <c r="L17" s="175">
        <f>SUMIFS('📋 Movimentações'!$F$15:$F$514,'📋 Movimentações'!$B$15:$B$514,"&gt;="&amp;DATE($N$3,10,1),'📋 Movimentações'!$B$15:$B$514,"&lt;="&amp;EOMONTH(DATE($N$3,10,1),0),'📋 Movimentações'!$E$15:$E$514,"Saída")</f>
        <v>0</v>
      </c>
      <c r="M17" s="175">
        <f>SUMIFS('📋 Movimentações'!$F$15:$F$514,'📋 Movimentações'!$B$15:$B$514,"&gt;="&amp;DATE($N$3,11,1),'📋 Movimentações'!$B$15:$B$514,"&lt;="&amp;EOMONTH(DATE($N$3,11,1),0),'📋 Movimentações'!$E$15:$E$514,"Saída")</f>
        <v>0</v>
      </c>
      <c r="N17" s="175">
        <f>SUMIFS('📋 Movimentações'!$F$15:$F$514,'📋 Movimentações'!$B$15:$B$514,"&gt;="&amp;DATE($N$3,12,1),'📋 Movimentações'!$B$15:$B$514,"&lt;="&amp;EOMONTH(DATE($N$3,12,1),0),'📋 Movimentações'!$E$15:$E$514,"Saída")</f>
        <v>0</v>
      </c>
      <c r="O17" s="176">
        <f t="shared" si="0"/>
        <v>111572</v>
      </c>
    </row>
    <row r="18" spans="1:15" ht="15.75" customHeight="1">
      <c r="A18" s="25"/>
      <c r="B18" s="244" t="s">
        <v>228</v>
      </c>
      <c r="C18" s="244"/>
      <c r="D18" s="244"/>
      <c r="E18" s="244"/>
      <c r="F18" s="244"/>
      <c r="G18" s="244"/>
      <c r="H18" s="244"/>
      <c r="I18" s="244"/>
      <c r="J18" s="244"/>
      <c r="K18" s="244"/>
      <c r="L18" s="244"/>
      <c r="M18" s="244"/>
      <c r="N18" s="244"/>
      <c r="O18" s="244"/>
    </row>
    <row r="19" spans="1:15" ht="19.5" customHeight="1">
      <c r="A19" s="25"/>
      <c r="B19" s="88" t="s">
        <v>115</v>
      </c>
      <c r="C19" s="89">
        <f t="shared" ref="C19:N19" si="1">C10-C17</f>
        <v>0</v>
      </c>
      <c r="D19" s="89">
        <f t="shared" si="1"/>
        <v>0</v>
      </c>
      <c r="E19" s="89">
        <f t="shared" si="1"/>
        <v>0</v>
      </c>
      <c r="F19" s="89">
        <f t="shared" si="1"/>
        <v>0</v>
      </c>
      <c r="G19" s="89">
        <f t="shared" si="1"/>
        <v>317428</v>
      </c>
      <c r="H19" s="89">
        <f t="shared" si="1"/>
        <v>0</v>
      </c>
      <c r="I19" s="89">
        <f t="shared" si="1"/>
        <v>0</v>
      </c>
      <c r="J19" s="89">
        <f t="shared" si="1"/>
        <v>0</v>
      </c>
      <c r="K19" s="89">
        <f t="shared" si="1"/>
        <v>0</v>
      </c>
      <c r="L19" s="89">
        <f t="shared" si="1"/>
        <v>0</v>
      </c>
      <c r="M19" s="89">
        <f t="shared" si="1"/>
        <v>0</v>
      </c>
      <c r="N19" s="89">
        <f t="shared" si="1"/>
        <v>0</v>
      </c>
      <c r="O19" s="151">
        <f>SUM(C19,D19,E19,F19,G19,H19,I19,J19,K19,L19,M19,N19)</f>
        <v>317428</v>
      </c>
    </row>
    <row r="20" spans="1:15" ht="19.5" customHeight="1">
      <c r="A20" s="25"/>
      <c r="B20" s="15" t="s">
        <v>70</v>
      </c>
      <c r="C20" s="177">
        <f t="shared" ref="C20:O20" si="2">IFERROR(C19/C10,0)</f>
        <v>0</v>
      </c>
      <c r="D20" s="177">
        <f t="shared" si="2"/>
        <v>0</v>
      </c>
      <c r="E20" s="177">
        <f t="shared" si="2"/>
        <v>0</v>
      </c>
      <c r="F20" s="177">
        <f t="shared" si="2"/>
        <v>0</v>
      </c>
      <c r="G20" s="177">
        <f t="shared" si="2"/>
        <v>0.73992540792540795</v>
      </c>
      <c r="H20" s="177">
        <f t="shared" si="2"/>
        <v>0</v>
      </c>
      <c r="I20" s="177">
        <f t="shared" si="2"/>
        <v>0</v>
      </c>
      <c r="J20" s="177">
        <f t="shared" si="2"/>
        <v>0</v>
      </c>
      <c r="K20" s="177">
        <f t="shared" si="2"/>
        <v>0</v>
      </c>
      <c r="L20" s="177">
        <f t="shared" si="2"/>
        <v>0</v>
      </c>
      <c r="M20" s="177">
        <f t="shared" si="2"/>
        <v>0</v>
      </c>
      <c r="N20" s="177">
        <f t="shared" si="2"/>
        <v>0</v>
      </c>
      <c r="O20" s="178">
        <f t="shared" si="2"/>
        <v>0.73992540792540795</v>
      </c>
    </row>
    <row r="21" spans="1:15" ht="9.75" customHeight="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</row>
    <row r="22" spans="1:15" ht="18" customHeight="1">
      <c r="A22" s="25"/>
      <c r="B22" s="212" t="s">
        <v>229</v>
      </c>
      <c r="C22" s="212"/>
      <c r="D22" s="212"/>
      <c r="E22" s="212"/>
      <c r="F22" s="212"/>
      <c r="G22" s="212"/>
      <c r="H22" s="212"/>
      <c r="I22" s="212"/>
      <c r="J22" s="212"/>
      <c r="K22" s="212"/>
      <c r="L22" s="212"/>
      <c r="M22" s="212"/>
      <c r="N22" s="212"/>
      <c r="O22" s="212"/>
    </row>
    <row r="23" spans="1:15" ht="15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</row>
    <row r="24" spans="1:15" ht="15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</row>
    <row r="25" spans="1:15" ht="15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</row>
    <row r="26" spans="1:15" ht="1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</row>
    <row r="27" spans="1:15" ht="15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</row>
    <row r="28" spans="1:15" ht="1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</row>
    <row r="29" spans="1:15" ht="15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</row>
    <row r="30" spans="1:15" ht="1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1:15" ht="1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</row>
    <row r="32" spans="1:15" ht="1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</row>
    <row r="33" spans="1:15" ht="1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</row>
    <row r="34" spans="1:15" ht="1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1:15" ht="1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</row>
    <row r="36" spans="1:15" ht="1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</row>
    <row r="37" spans="1:15" ht="1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</row>
    <row r="38" spans="1:15" ht="1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</row>
    <row r="39" spans="1:15" ht="1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1:15" ht="1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1:15" ht="1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1:15" ht="1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1:15" ht="1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1:15" ht="1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1:15" ht="1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1:15" ht="1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</row>
    <row r="47" spans="1:15" ht="1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</row>
    <row r="48" spans="1:15" ht="1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</row>
    <row r="49" spans="1:15" ht="1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</row>
  </sheetData>
  <mergeCells count="5">
    <mergeCell ref="B2:O2"/>
    <mergeCell ref="B6:O6"/>
    <mergeCell ref="B11:O11"/>
    <mergeCell ref="B18:O18"/>
    <mergeCell ref="B22:O22"/>
  </mergeCells>
  <phoneticPr fontId="84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6B35"/>
  </sheetPr>
  <dimension ref="A1:I54"/>
  <sheetViews>
    <sheetView showGridLines="0" zoomScaleNormal="100" workbookViewId="0"/>
  </sheetViews>
  <sheetFormatPr defaultColWidth="8.6640625" defaultRowHeight="14.4"/>
  <cols>
    <col min="1" max="1" width="1" customWidth="1"/>
    <col min="2" max="2" width="30" customWidth="1"/>
    <col min="3" max="7" width="20" customWidth="1"/>
    <col min="8" max="8" width="1" customWidth="1"/>
  </cols>
  <sheetData>
    <row r="1" spans="1:9" ht="6" customHeight="1">
      <c r="A1" s="4"/>
      <c r="B1" s="4"/>
      <c r="C1" s="4"/>
      <c r="D1" s="4"/>
      <c r="E1" s="4"/>
      <c r="F1" s="4"/>
      <c r="G1" s="4"/>
      <c r="H1" s="4"/>
      <c r="I1" s="25"/>
    </row>
    <row r="2" spans="1:9" ht="25.5" customHeight="1">
      <c r="A2" s="4"/>
      <c r="B2" s="258" t="s">
        <v>230</v>
      </c>
      <c r="C2" s="258"/>
      <c r="D2" s="258"/>
      <c r="E2" s="258"/>
      <c r="F2" s="258"/>
      <c r="G2" s="258"/>
      <c r="H2" s="4"/>
      <c r="I2" s="25"/>
    </row>
    <row r="3" spans="1:9" ht="6" customHeight="1">
      <c r="A3" s="4"/>
      <c r="B3" s="4"/>
      <c r="C3" s="4"/>
      <c r="D3" s="4"/>
      <c r="E3" s="4"/>
      <c r="F3" s="4"/>
      <c r="G3" s="4"/>
      <c r="H3" s="4"/>
      <c r="I3" s="25"/>
    </row>
    <row r="4" spans="1:9" ht="9.75" customHeight="1">
      <c r="A4" s="25"/>
      <c r="B4" s="25"/>
      <c r="C4" s="25"/>
      <c r="D4" s="25"/>
      <c r="E4" s="25"/>
      <c r="F4" s="25"/>
      <c r="G4" s="25"/>
      <c r="H4" s="25"/>
      <c r="I4" s="25"/>
    </row>
    <row r="5" spans="1:9" ht="19.5" customHeight="1">
      <c r="A5" s="25"/>
      <c r="B5" s="227" t="s">
        <v>231</v>
      </c>
      <c r="C5" s="227"/>
      <c r="D5" s="227"/>
      <c r="E5" s="227"/>
      <c r="F5" s="227"/>
      <c r="G5" s="227"/>
      <c r="H5" s="25"/>
      <c r="I5" s="25"/>
    </row>
    <row r="6" spans="1:9" ht="21.75" customHeight="1">
      <c r="A6" s="25"/>
      <c r="B6" s="179" t="s">
        <v>232</v>
      </c>
      <c r="C6" s="180">
        <v>285000</v>
      </c>
      <c r="D6" s="181" t="s">
        <v>233</v>
      </c>
      <c r="E6" s="47"/>
      <c r="F6" s="47"/>
      <c r="G6" s="47"/>
      <c r="H6" s="25"/>
      <c r="I6" s="25"/>
    </row>
    <row r="7" spans="1:9" ht="21.75" customHeight="1">
      <c r="A7" s="25"/>
      <c r="B7" s="179" t="s">
        <v>234</v>
      </c>
      <c r="C7" s="144">
        <v>130000</v>
      </c>
      <c r="D7" s="181" t="s">
        <v>233</v>
      </c>
      <c r="E7" s="47"/>
      <c r="F7" s="47"/>
      <c r="G7" s="47"/>
      <c r="H7" s="25"/>
      <c r="I7" s="25"/>
    </row>
    <row r="8" spans="1:9" ht="21.75" customHeight="1">
      <c r="A8" s="25"/>
      <c r="B8" s="179" t="s">
        <v>235</v>
      </c>
      <c r="C8" s="182">
        <v>30000</v>
      </c>
      <c r="D8" s="181" t="s">
        <v>233</v>
      </c>
      <c r="E8" s="47"/>
      <c r="F8" s="47"/>
      <c r="G8" s="47"/>
      <c r="H8" s="25"/>
      <c r="I8" s="25"/>
    </row>
    <row r="9" spans="1:9" ht="21.75" customHeight="1">
      <c r="A9" s="25"/>
      <c r="B9" s="179" t="s">
        <v>236</v>
      </c>
      <c r="C9" s="183">
        <v>0.03</v>
      </c>
      <c r="D9" s="181" t="s">
        <v>233</v>
      </c>
      <c r="E9" s="47"/>
      <c r="F9" s="47"/>
      <c r="G9" s="47"/>
      <c r="H9" s="25"/>
      <c r="I9" s="25"/>
    </row>
    <row r="10" spans="1:9" ht="21.75" customHeight="1">
      <c r="A10" s="25"/>
      <c r="B10" s="179" t="s">
        <v>237</v>
      </c>
      <c r="C10" s="184">
        <v>0</v>
      </c>
      <c r="D10" s="181" t="s">
        <v>233</v>
      </c>
      <c r="E10" s="47"/>
      <c r="F10" s="47"/>
      <c r="G10" s="47"/>
      <c r="H10" s="25"/>
      <c r="I10" s="25"/>
    </row>
    <row r="11" spans="1:9" ht="9.75" customHeight="1">
      <c r="A11" s="25"/>
      <c r="B11" s="25"/>
      <c r="C11" s="25"/>
      <c r="D11" s="25"/>
      <c r="E11" s="25"/>
      <c r="F11" s="25"/>
      <c r="G11" s="25"/>
      <c r="H11" s="25"/>
      <c r="I11" s="25"/>
    </row>
    <row r="12" spans="1:9" ht="19.5" customHeight="1">
      <c r="A12" s="25"/>
      <c r="B12" s="259" t="s">
        <v>238</v>
      </c>
      <c r="C12" s="259"/>
      <c r="D12" s="259"/>
      <c r="E12" s="259"/>
      <c r="F12" s="259"/>
      <c r="G12" s="259"/>
      <c r="H12" s="25"/>
      <c r="I12" s="25"/>
    </row>
    <row r="13" spans="1:9" ht="18" customHeight="1">
      <c r="A13" s="25"/>
      <c r="B13" s="8" t="s">
        <v>239</v>
      </c>
      <c r="C13" s="8" t="s">
        <v>240</v>
      </c>
      <c r="D13" s="8" t="s">
        <v>241</v>
      </c>
      <c r="E13" s="8" t="s">
        <v>242</v>
      </c>
      <c r="F13" s="8" t="s">
        <v>243</v>
      </c>
      <c r="G13" s="25"/>
      <c r="H13" s="25"/>
      <c r="I13" s="25"/>
    </row>
    <row r="14" spans="1:9" ht="21.75" customHeight="1">
      <c r="A14" s="25"/>
      <c r="B14" s="185" t="s">
        <v>244</v>
      </c>
      <c r="C14" s="186">
        <f>3*$C$8</f>
        <v>90000</v>
      </c>
      <c r="D14" s="187">
        <f t="shared" ref="D14:D21" si="0">E14-C14-$C$10</f>
        <v>222</v>
      </c>
      <c r="E14" s="55">
        <f>ROUND($C$10*(1+$C$9/12)^3+$C$8*((1+$C$9/12)^3-1)/($C$9/12+0.0000001),0)</f>
        <v>90222</v>
      </c>
      <c r="F14" s="188">
        <f>($C$6-$C$7-$C$8)*3</f>
        <v>375000</v>
      </c>
      <c r="G14" s="47"/>
      <c r="H14" s="25"/>
      <c r="I14" s="25"/>
    </row>
    <row r="15" spans="1:9" ht="21.75" customHeight="1">
      <c r="A15" s="25"/>
      <c r="B15" s="189" t="s">
        <v>245</v>
      </c>
      <c r="C15" s="190">
        <f>6*$C$8</f>
        <v>180000</v>
      </c>
      <c r="D15" s="191">
        <f t="shared" si="0"/>
        <v>1122</v>
      </c>
      <c r="E15" s="192">
        <f>ROUND($C$10*(1+$C$9/12)^6+$C$8*((1+$C$9/12)^6-1)/($C$9/12+0.0000001),0)</f>
        <v>181122</v>
      </c>
      <c r="F15" s="193">
        <f>($C$6-$C$7-$C$8)*6</f>
        <v>750000</v>
      </c>
      <c r="G15" s="14"/>
      <c r="H15" s="25"/>
      <c r="I15" s="25"/>
    </row>
    <row r="16" spans="1:9" ht="21.75" customHeight="1">
      <c r="A16" s="25"/>
      <c r="B16" s="185" t="s">
        <v>246</v>
      </c>
      <c r="C16" s="186">
        <f>12*$C$8</f>
        <v>360000</v>
      </c>
      <c r="D16" s="187">
        <f t="shared" si="0"/>
        <v>4977</v>
      </c>
      <c r="E16" s="55">
        <f>ROUND($C$10*(1+$C$9/12)^12+$C$8*((1+$C$9/12)^12-1)/($C$9/12+0.0000001),0)</f>
        <v>364977</v>
      </c>
      <c r="F16" s="188">
        <f>($C$6-$C$7-$C$8)*12</f>
        <v>1500000</v>
      </c>
      <c r="G16" s="47"/>
      <c r="H16" s="25"/>
      <c r="I16" s="25"/>
    </row>
    <row r="17" spans="1:9" ht="21.75" customHeight="1">
      <c r="A17" s="25"/>
      <c r="B17" s="189" t="s">
        <v>247</v>
      </c>
      <c r="C17" s="190">
        <f>18*$C$8</f>
        <v>540000</v>
      </c>
      <c r="D17" s="191">
        <f t="shared" si="0"/>
        <v>11607</v>
      </c>
      <c r="E17" s="192">
        <f>ROUND($C$10*(1+$C$9/12)^18+$C$8*((1+$C$9/12)^18-1)/($C$9/12+0.0000001),0)</f>
        <v>551607</v>
      </c>
      <c r="F17" s="193">
        <f>($C$6-$C$7-$C$8)*18</f>
        <v>2250000</v>
      </c>
      <c r="G17" s="14"/>
      <c r="H17" s="25"/>
      <c r="I17" s="25"/>
    </row>
    <row r="18" spans="1:9" ht="21.75" customHeight="1">
      <c r="A18" s="25"/>
      <c r="B18" s="185" t="s">
        <v>248</v>
      </c>
      <c r="C18" s="186">
        <f>24*$C$8</f>
        <v>720000</v>
      </c>
      <c r="D18" s="187">
        <f t="shared" si="0"/>
        <v>21055</v>
      </c>
      <c r="E18" s="55">
        <f>ROUND($C$10*(1+$C$9/12)^24+$C$8*((1+$C$9/12)^24-1)/($C$9/12+0.0000001),0)</f>
        <v>741055</v>
      </c>
      <c r="F18" s="188">
        <f>($C$6-$C$7-$C$8)*24</f>
        <v>3000000</v>
      </c>
      <c r="G18" s="47"/>
      <c r="H18" s="25"/>
      <c r="I18" s="25"/>
    </row>
    <row r="19" spans="1:9" ht="21.75" customHeight="1">
      <c r="A19" s="25"/>
      <c r="B19" s="189" t="s">
        <v>249</v>
      </c>
      <c r="C19" s="190">
        <f>36*$C$8</f>
        <v>1080000</v>
      </c>
      <c r="D19" s="191">
        <f t="shared" si="0"/>
        <v>48572</v>
      </c>
      <c r="E19" s="192">
        <f>ROUND($C$10*(1+$C$9/12)^36+$C$8*((1+$C$9/12)^36-1)/($C$9/12+0.0000001),0)</f>
        <v>1128572</v>
      </c>
      <c r="F19" s="193">
        <f>($C$6-$C$7-$C$8)*36</f>
        <v>4500000</v>
      </c>
      <c r="G19" s="14"/>
      <c r="H19" s="25"/>
      <c r="I19" s="25"/>
    </row>
    <row r="20" spans="1:9" ht="21.75" customHeight="1">
      <c r="A20" s="25"/>
      <c r="B20" s="185" t="s">
        <v>250</v>
      </c>
      <c r="C20" s="186">
        <f>48*$C$8</f>
        <v>1440000</v>
      </c>
      <c r="D20" s="187">
        <f t="shared" si="0"/>
        <v>87875</v>
      </c>
      <c r="E20" s="55">
        <f>ROUND($C$10*(1+$C$9/12)^48+$C$8*((1+$C$9/12)^48-1)/($C$9/12+0.0000001),0)</f>
        <v>1527875</v>
      </c>
      <c r="F20" s="188">
        <f>($C$6-$C$7-$C$8)*48</f>
        <v>6000000</v>
      </c>
      <c r="G20" s="47"/>
      <c r="H20" s="25"/>
      <c r="I20" s="25"/>
    </row>
    <row r="21" spans="1:9" ht="21.75" customHeight="1">
      <c r="A21" s="25"/>
      <c r="B21" s="189" t="s">
        <v>251</v>
      </c>
      <c r="C21" s="190">
        <f>60*$C$8</f>
        <v>1800000</v>
      </c>
      <c r="D21" s="191">
        <f t="shared" si="0"/>
        <v>139324</v>
      </c>
      <c r="E21" s="192">
        <f>ROUND($C$10*(1+$C$9/12)^60+$C$8*((1+$C$9/12)^60-1)/($C$9/12+0.0000001),0)</f>
        <v>1939324</v>
      </c>
      <c r="F21" s="193">
        <f>($C$6-$C$7-$C$8)*60</f>
        <v>7500000</v>
      </c>
      <c r="G21" s="14"/>
      <c r="H21" s="25"/>
      <c r="I21" s="25"/>
    </row>
    <row r="22" spans="1:9" ht="9.75" customHeight="1">
      <c r="A22" s="25"/>
      <c r="B22" s="25"/>
      <c r="C22" s="25"/>
      <c r="D22" s="25"/>
      <c r="E22" s="25"/>
      <c r="F22" s="25"/>
      <c r="G22" s="25"/>
      <c r="H22" s="25"/>
      <c r="I22" s="25"/>
    </row>
    <row r="23" spans="1:9" ht="24" customHeight="1">
      <c r="A23" s="25"/>
      <c r="B23" s="260" t="s">
        <v>252</v>
      </c>
      <c r="C23" s="260"/>
      <c r="D23" s="260"/>
      <c r="E23" s="260"/>
      <c r="F23" s="260"/>
      <c r="G23" s="260"/>
      <c r="H23" s="25"/>
      <c r="I23" s="25"/>
    </row>
    <row r="24" spans="1:9" ht="9.75" customHeight="1">
      <c r="A24" s="25"/>
      <c r="B24" s="25"/>
      <c r="C24" s="25"/>
      <c r="D24" s="25"/>
      <c r="E24" s="25"/>
      <c r="F24" s="25"/>
      <c r="G24" s="25"/>
      <c r="H24" s="25"/>
      <c r="I24" s="25"/>
    </row>
    <row r="25" spans="1:9" ht="15" customHeight="1">
      <c r="A25" s="25"/>
      <c r="B25" s="25"/>
      <c r="C25" s="25"/>
      <c r="D25" s="25"/>
      <c r="E25" s="25"/>
      <c r="F25" s="25"/>
      <c r="G25" s="25"/>
      <c r="H25" s="25"/>
      <c r="I25" s="25"/>
    </row>
    <row r="26" spans="1:9" ht="15" customHeight="1">
      <c r="A26" s="25"/>
      <c r="B26" s="25"/>
      <c r="C26" s="25"/>
      <c r="D26" s="25"/>
      <c r="E26" s="25"/>
      <c r="F26" s="25"/>
      <c r="G26" s="25"/>
      <c r="H26" s="25"/>
      <c r="I26" s="25"/>
    </row>
    <row r="27" spans="1:9" ht="15" customHeight="1">
      <c r="A27" s="25"/>
      <c r="B27" s="25"/>
      <c r="C27" s="25"/>
      <c r="D27" s="25"/>
      <c r="E27" s="25"/>
      <c r="F27" s="25"/>
      <c r="G27" s="25"/>
      <c r="H27" s="25"/>
      <c r="I27" s="25"/>
    </row>
    <row r="28" spans="1:9" ht="15" customHeight="1">
      <c r="A28" s="25"/>
      <c r="B28" s="25"/>
      <c r="C28" s="25"/>
      <c r="D28" s="25"/>
      <c r="E28" s="25"/>
      <c r="F28" s="25"/>
      <c r="G28" s="25"/>
      <c r="H28" s="25"/>
      <c r="I28" s="25"/>
    </row>
    <row r="29" spans="1:9" ht="15" customHeight="1">
      <c r="A29" s="25"/>
      <c r="B29" s="25"/>
      <c r="C29" s="25"/>
      <c r="D29" s="25"/>
      <c r="E29" s="25"/>
      <c r="F29" s="25"/>
      <c r="G29" s="25"/>
      <c r="H29" s="25"/>
      <c r="I29" s="25"/>
    </row>
    <row r="30" spans="1:9" ht="15" customHeight="1">
      <c r="A30" s="25"/>
      <c r="B30" s="25"/>
      <c r="C30" s="25"/>
      <c r="D30" s="25"/>
      <c r="E30" s="25"/>
      <c r="F30" s="25"/>
      <c r="G30" s="25"/>
      <c r="H30" s="25"/>
      <c r="I30" s="25"/>
    </row>
    <row r="31" spans="1:9" ht="15" customHeight="1">
      <c r="A31" s="25"/>
      <c r="B31" s="25"/>
      <c r="C31" s="25"/>
      <c r="D31" s="25"/>
      <c r="E31" s="25"/>
      <c r="F31" s="25"/>
      <c r="G31" s="25"/>
      <c r="H31" s="25"/>
      <c r="I31" s="25"/>
    </row>
    <row r="32" spans="1:9" ht="15" customHeight="1">
      <c r="A32" s="25"/>
      <c r="B32" s="25"/>
      <c r="C32" s="25"/>
      <c r="D32" s="25"/>
      <c r="E32" s="25"/>
      <c r="F32" s="25"/>
      <c r="G32" s="25"/>
      <c r="H32" s="25"/>
      <c r="I32" s="25"/>
    </row>
    <row r="33" spans="1:9" ht="15" customHeight="1">
      <c r="A33" s="25"/>
      <c r="B33" s="25"/>
      <c r="C33" s="25"/>
      <c r="D33" s="25"/>
      <c r="E33" s="25"/>
      <c r="F33" s="25"/>
      <c r="G33" s="25"/>
      <c r="H33" s="25"/>
      <c r="I33" s="25"/>
    </row>
    <row r="34" spans="1:9" ht="15" customHeight="1">
      <c r="A34" s="25"/>
      <c r="B34" s="25"/>
      <c r="C34" s="25"/>
      <c r="D34" s="25"/>
      <c r="E34" s="25"/>
      <c r="F34" s="25"/>
      <c r="G34" s="25"/>
      <c r="H34" s="25"/>
      <c r="I34" s="25"/>
    </row>
    <row r="35" spans="1:9" ht="15" customHeight="1">
      <c r="A35" s="25"/>
      <c r="B35" s="25"/>
      <c r="C35" s="25"/>
      <c r="D35" s="25"/>
      <c r="E35" s="25"/>
      <c r="F35" s="25"/>
      <c r="G35" s="25"/>
      <c r="H35" s="25"/>
      <c r="I35" s="25"/>
    </row>
    <row r="36" spans="1:9" ht="15" customHeight="1">
      <c r="A36" s="25"/>
      <c r="B36" s="25"/>
      <c r="C36" s="25"/>
      <c r="D36" s="25"/>
      <c r="E36" s="25"/>
      <c r="F36" s="25"/>
      <c r="G36" s="25"/>
      <c r="H36" s="25"/>
      <c r="I36" s="25"/>
    </row>
    <row r="37" spans="1:9" ht="15" customHeight="1">
      <c r="A37" s="25"/>
      <c r="B37" s="25"/>
      <c r="C37" s="25"/>
      <c r="D37" s="25"/>
      <c r="E37" s="25"/>
      <c r="F37" s="25"/>
      <c r="G37" s="25"/>
      <c r="H37" s="25"/>
      <c r="I37" s="25"/>
    </row>
    <row r="38" spans="1:9" ht="15" customHeight="1">
      <c r="A38" s="25"/>
      <c r="B38" s="25"/>
      <c r="C38" s="25"/>
      <c r="D38" s="25"/>
      <c r="E38" s="25"/>
      <c r="F38" s="25"/>
      <c r="G38" s="25"/>
      <c r="H38" s="25"/>
      <c r="I38" s="25"/>
    </row>
    <row r="39" spans="1:9" ht="15" customHeight="1">
      <c r="A39" s="25"/>
      <c r="B39" s="25"/>
      <c r="C39" s="25"/>
      <c r="D39" s="25"/>
      <c r="E39" s="25"/>
      <c r="F39" s="25"/>
      <c r="G39" s="25"/>
      <c r="H39" s="25"/>
      <c r="I39" s="25"/>
    </row>
    <row r="40" spans="1:9" ht="15" customHeight="1">
      <c r="A40" s="25"/>
      <c r="B40" s="25"/>
      <c r="C40" s="25"/>
      <c r="D40" s="25"/>
      <c r="E40" s="25"/>
      <c r="F40" s="25"/>
      <c r="G40" s="25"/>
      <c r="H40" s="25"/>
      <c r="I40" s="25"/>
    </row>
    <row r="41" spans="1:9" ht="15" customHeight="1">
      <c r="A41" s="25"/>
      <c r="B41" s="25"/>
      <c r="C41" s="25"/>
      <c r="D41" s="25"/>
      <c r="E41" s="25"/>
      <c r="F41" s="25"/>
      <c r="G41" s="25"/>
      <c r="H41" s="25"/>
      <c r="I41" s="25"/>
    </row>
    <row r="42" spans="1:9" ht="15" customHeight="1">
      <c r="A42" s="25"/>
      <c r="B42" s="25"/>
      <c r="C42" s="25"/>
      <c r="D42" s="25"/>
      <c r="E42" s="25"/>
      <c r="F42" s="25"/>
      <c r="G42" s="25"/>
      <c r="H42" s="25"/>
      <c r="I42" s="25"/>
    </row>
    <row r="43" spans="1:9" ht="15" customHeight="1">
      <c r="A43" s="25"/>
      <c r="B43" s="25"/>
      <c r="C43" s="25"/>
      <c r="D43" s="25"/>
      <c r="E43" s="25"/>
      <c r="F43" s="25"/>
      <c r="G43" s="25"/>
      <c r="H43" s="25"/>
      <c r="I43" s="25"/>
    </row>
    <row r="44" spans="1:9" ht="15" customHeight="1">
      <c r="A44" s="25"/>
      <c r="B44" s="25"/>
      <c r="C44" s="25"/>
      <c r="D44" s="25"/>
      <c r="E44" s="25"/>
      <c r="F44" s="25"/>
      <c r="G44" s="25"/>
      <c r="H44" s="25"/>
      <c r="I44" s="25"/>
    </row>
    <row r="45" spans="1:9" ht="15" customHeight="1">
      <c r="A45" s="25"/>
      <c r="B45" s="25"/>
      <c r="C45" s="25"/>
      <c r="D45" s="25"/>
      <c r="E45" s="25"/>
      <c r="F45" s="25"/>
      <c r="G45" s="25"/>
      <c r="H45" s="25"/>
      <c r="I45" s="25"/>
    </row>
    <row r="46" spans="1:9" ht="15" customHeight="1">
      <c r="A46" s="25"/>
      <c r="B46" s="25"/>
      <c r="C46" s="25"/>
      <c r="D46" s="25"/>
      <c r="E46" s="25"/>
      <c r="F46" s="25"/>
      <c r="G46" s="25"/>
      <c r="H46" s="25"/>
      <c r="I46" s="25"/>
    </row>
    <row r="47" spans="1:9" ht="15" customHeight="1">
      <c r="A47" s="25"/>
      <c r="B47" s="25"/>
      <c r="C47" s="25"/>
      <c r="D47" s="25"/>
      <c r="E47" s="25"/>
      <c r="F47" s="25"/>
      <c r="G47" s="25"/>
      <c r="H47" s="25"/>
      <c r="I47" s="25"/>
    </row>
    <row r="48" spans="1:9" ht="15" customHeight="1">
      <c r="A48" s="25"/>
      <c r="B48" s="25"/>
      <c r="C48" s="25"/>
      <c r="D48" s="25"/>
      <c r="E48" s="25"/>
      <c r="F48" s="25"/>
      <c r="G48" s="25"/>
      <c r="H48" s="25"/>
      <c r="I48" s="25"/>
    </row>
    <row r="49" spans="1:9" ht="15" customHeight="1">
      <c r="A49" s="25"/>
      <c r="B49" s="25"/>
      <c r="C49" s="25"/>
      <c r="D49" s="25"/>
      <c r="E49" s="25"/>
      <c r="F49" s="25"/>
      <c r="G49" s="25"/>
      <c r="H49" s="25"/>
      <c r="I49" s="25"/>
    </row>
    <row r="50" spans="1:9" ht="15" customHeight="1">
      <c r="A50" s="25"/>
      <c r="B50" s="25"/>
      <c r="C50" s="25"/>
      <c r="D50" s="25"/>
      <c r="E50" s="25"/>
      <c r="F50" s="25"/>
      <c r="G50" s="25"/>
      <c r="H50" s="25"/>
      <c r="I50" s="25"/>
    </row>
    <row r="51" spans="1:9" ht="15" customHeight="1">
      <c r="A51" s="25"/>
      <c r="B51" s="25"/>
      <c r="C51" s="25"/>
      <c r="D51" s="25"/>
      <c r="E51" s="25"/>
      <c r="F51" s="25"/>
      <c r="G51" s="25"/>
      <c r="H51" s="25"/>
      <c r="I51" s="25"/>
    </row>
    <row r="52" spans="1:9" ht="15" customHeight="1">
      <c r="A52" s="25"/>
      <c r="B52" s="25"/>
      <c r="C52" s="25"/>
      <c r="D52" s="25"/>
      <c r="E52" s="25"/>
      <c r="F52" s="25"/>
      <c r="G52" s="25"/>
      <c r="H52" s="25"/>
      <c r="I52" s="25"/>
    </row>
    <row r="53" spans="1:9" ht="15" customHeight="1">
      <c r="A53" s="25"/>
      <c r="B53" s="25"/>
      <c r="C53" s="25"/>
      <c r="D53" s="25"/>
      <c r="E53" s="25"/>
      <c r="F53" s="25"/>
      <c r="G53" s="25"/>
      <c r="H53" s="25"/>
      <c r="I53" s="25"/>
    </row>
    <row r="54" spans="1:9" ht="15" customHeight="1">
      <c r="A54" s="25"/>
      <c r="B54" s="25"/>
      <c r="C54" s="25"/>
      <c r="D54" s="25"/>
      <c r="E54" s="25"/>
      <c r="F54" s="25"/>
      <c r="G54" s="25"/>
      <c r="H54" s="25"/>
      <c r="I54" s="25"/>
    </row>
  </sheetData>
  <mergeCells count="4">
    <mergeCell ref="B2:G2"/>
    <mergeCell ref="B5:G5"/>
    <mergeCell ref="B12:G12"/>
    <mergeCell ref="B23:G23"/>
  </mergeCells>
  <phoneticPr fontId="84"/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🗂 Ichiran</vt:lpstr>
      <vt:lpstr>📊 Dashboard</vt:lpstr>
      <vt:lpstr>📋 Movimentações</vt:lpstr>
      <vt:lpstr>🏠 Gastos Fixos</vt:lpstr>
      <vt:lpstr>📅 Planejamento</vt:lpstr>
      <vt:lpstr>🎯 Metas</vt:lpstr>
      <vt:lpstr>📆 Resumo Anual</vt:lpstr>
      <vt:lpstr>💡 Simulador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チーム 三菱</cp:lastModifiedBy>
  <cp:revision>13</cp:revision>
  <dcterms:created xsi:type="dcterms:W3CDTF">2026-05-27T05:54:01Z</dcterms:created>
  <dcterms:modified xsi:type="dcterms:W3CDTF">2026-05-28T01:11:36Z</dcterms:modified>
  <dc:language>en-US</dc:language>
</cp:coreProperties>
</file>